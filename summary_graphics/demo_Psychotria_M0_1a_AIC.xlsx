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at471/Documents/GitHub/bgwk5/summary_graphics/"/>
    </mc:Choice>
  </mc:AlternateContent>
  <xr:revisionPtr revIDLastSave="0" documentId="13_ncr:1_{F59FC54D-8608-7A4A-A474-CBBC02CD2A5C}" xr6:coauthVersionLast="47" xr6:coauthVersionMax="47" xr10:uidLastSave="{00000000-0000-0000-0000-000000000000}"/>
  <bookViews>
    <workbookView xWindow="0" yWindow="600" windowWidth="43860" windowHeight="24600" xr2:uid="{630A2355-7C92-714B-8701-15F8D109B3E6}"/>
  </bookViews>
  <sheets>
    <sheet name="blank" sheetId="2" r:id="rId1"/>
    <sheet name="formulas" sheetId="3" r:id="rId2"/>
    <sheet name="filled_i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H10" i="2"/>
  <c r="I10" i="2" s="1"/>
  <c r="J10" i="2" s="1"/>
  <c r="H9" i="2"/>
  <c r="I9" i="2" s="1"/>
  <c r="J9" i="2" s="1"/>
  <c r="H8" i="2"/>
  <c r="I8" i="2" s="1"/>
  <c r="J8" i="2" s="1"/>
  <c r="I7" i="2"/>
  <c r="J7" i="2" s="1"/>
  <c r="H7" i="2"/>
  <c r="I6" i="2"/>
  <c r="J6" i="2" s="1"/>
  <c r="H6" i="2"/>
  <c r="H5" i="2"/>
  <c r="J5" i="2" s="1"/>
  <c r="I5" i="1"/>
  <c r="H5" i="1"/>
  <c r="H6" i="1"/>
  <c r="H7" i="1"/>
  <c r="H8" i="1"/>
  <c r="H9" i="1"/>
  <c r="H10" i="1"/>
  <c r="H12" i="1"/>
  <c r="H12" i="2" l="1"/>
  <c r="J5" i="1" l="1"/>
  <c r="I6" i="1"/>
  <c r="J6" i="1" s="1"/>
  <c r="I9" i="1"/>
  <c r="J9" i="1" s="1"/>
  <c r="I10" i="1"/>
  <c r="J10" i="1" s="1"/>
  <c r="I8" i="1"/>
  <c r="J8" i="1" s="1"/>
  <c r="I7" i="1"/>
  <c r="J7" i="1" s="1"/>
  <c r="J12" i="2" l="1"/>
  <c r="J12" i="1"/>
  <c r="K10" i="1" s="1"/>
  <c r="L10" i="1" s="1"/>
  <c r="K5" i="2" l="1"/>
  <c r="L5" i="2" s="1"/>
  <c r="K7" i="2"/>
  <c r="L7" i="2" s="1"/>
  <c r="K8" i="2"/>
  <c r="L8" i="2" s="1"/>
  <c r="K6" i="2"/>
  <c r="L6" i="2" s="1"/>
  <c r="K9" i="2"/>
  <c r="L9" i="2" s="1"/>
  <c r="K10" i="2"/>
  <c r="L10" i="2" s="1"/>
  <c r="K8" i="1"/>
  <c r="L8" i="1" s="1"/>
  <c r="K6" i="1"/>
  <c r="L6" i="1" s="1"/>
  <c r="K7" i="1"/>
  <c r="L7" i="1" s="1"/>
  <c r="K9" i="1"/>
  <c r="L9" i="1" s="1"/>
  <c r="K5" i="1"/>
  <c r="L5" i="1" s="1"/>
</calcChain>
</file>

<file path=xl/sharedStrings.xml><?xml version="1.0" encoding="utf-8"?>
<sst xmlns="http://schemas.openxmlformats.org/spreadsheetml/2006/main" count="98" uniqueCount="55">
  <si>
    <t>Example AIC table from scratch</t>
  </si>
  <si>
    <t>Model</t>
  </si>
  <si>
    <t>DEC</t>
  </si>
  <si>
    <t>DEC+J</t>
  </si>
  <si>
    <t>DIVALIKE</t>
  </si>
  <si>
    <t>DIVALIKE+J</t>
  </si>
  <si>
    <t>BAYAREALIKE</t>
  </si>
  <si>
    <t>BAYAREALIKE+J</t>
  </si>
  <si>
    <t>lnL</t>
  </si>
  <si>
    <t>d</t>
  </si>
  <si>
    <t>e</t>
  </si>
  <si>
    <t>j</t>
  </si>
  <si>
    <t>parameters</t>
  </si>
  <si>
    <t>AIC</t>
  </si>
  <si>
    <t>bestAIC=</t>
  </si>
  <si>
    <t>rel. like.</t>
  </si>
  <si>
    <t>sumRelLike</t>
  </si>
  <si>
    <t>AICweight</t>
  </si>
  <si>
    <t>-2*(B5-C5)</t>
  </si>
  <si>
    <t>-2*(B6-C6)</t>
  </si>
  <si>
    <t>-2*(B7-C7)</t>
  </si>
  <si>
    <t>-2*(B8-C8)</t>
  </si>
  <si>
    <t>-2*(B9-C9)</t>
  </si>
  <si>
    <t>-2*(B10-C10)</t>
  </si>
  <si>
    <t>x</t>
  </si>
  <si>
    <t># free parameters</t>
  </si>
  <si>
    <t>diff. from best AIC</t>
  </si>
  <si>
    <t>AIC % weight</t>
  </si>
  <si>
    <t>Example AIC table from scratch - Psychotria</t>
  </si>
  <si>
    <t>=H5-H$12</t>
  </si>
  <si>
    <t>=H6-H$12</t>
  </si>
  <si>
    <t>=H7-H$12</t>
  </si>
  <si>
    <t>=H8-H$12</t>
  </si>
  <si>
    <t>=H9-H$12</t>
  </si>
  <si>
    <t>=H10-H$12</t>
  </si>
  <si>
    <t>=EXP(-0.5*I5)</t>
  </si>
  <si>
    <t>=EXP(-0.5*I6)</t>
  </si>
  <si>
    <t>=EXP(-0.5*I7)</t>
  </si>
  <si>
    <t>=EXP(-0.5*I8)</t>
  </si>
  <si>
    <t>=EXP(-0.5*I9)</t>
  </si>
  <si>
    <t>=EXP(-0.5*I10)</t>
  </si>
  <si>
    <t>=J5/J$12</t>
  </si>
  <si>
    <t>=J6/J$12</t>
  </si>
  <si>
    <t>=J7/J$12</t>
  </si>
  <si>
    <t>=J8/J$12</t>
  </si>
  <si>
    <t>=J9/J$12</t>
  </si>
  <si>
    <t>=J10/J$12</t>
  </si>
  <si>
    <t>=K5*100</t>
  </si>
  <si>
    <t>=K6*100</t>
  </si>
  <si>
    <t>=K7*100</t>
  </si>
  <si>
    <t>=K8*100</t>
  </si>
  <si>
    <t>=K9*100</t>
  </si>
  <si>
    <t>=K10*100</t>
  </si>
  <si>
    <t>=MIN(H5:H10)</t>
  </si>
  <si>
    <t>=SUM(J5:J10)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</si>
</sst>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2" fontId="4" fillId="0" borderId="0" xfId="0" quotePrefix="1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9B6B-0A22-1341-A213-5880E22038EA}">
  <dimension ref="A2:L12"/>
  <sheetViews>
    <sheetView tabSelected="1" zoomScale="200" zoomScaleNormal="200" workbookViewId="0">
      <selection activeCell="J5" sqref="J5"/>
    </sheetView>
  </sheetViews>
  <sheetFormatPr baseColWidth="10" defaultRowHeight="16" x14ac:dyDescent="0.2"/>
  <cols>
    <col min="1" max="1" width="13.6640625" customWidth="1"/>
    <col min="3" max="3" width="6.1640625" customWidth="1"/>
    <col min="4" max="6" width="8.83203125" customWidth="1"/>
    <col min="7" max="7" width="7.6640625" customWidth="1"/>
    <col min="9" max="9" width="7.83203125" customWidth="1"/>
    <col min="10" max="10" width="7" customWidth="1"/>
    <col min="11" max="11" width="7.83203125" customWidth="1"/>
  </cols>
  <sheetData>
    <row r="2" spans="1:12" ht="17" thickBot="1" x14ac:dyDescent="0.25">
      <c r="A2" s="1" t="s">
        <v>0</v>
      </c>
    </row>
    <row r="3" spans="1:12" ht="17" thickTop="1" x14ac:dyDescent="0.2">
      <c r="A3" s="8"/>
      <c r="B3" s="8"/>
      <c r="C3" s="8"/>
      <c r="D3" s="13" t="s">
        <v>12</v>
      </c>
      <c r="E3" s="13"/>
      <c r="F3" s="13"/>
      <c r="G3" s="13"/>
      <c r="H3" s="8"/>
      <c r="I3" s="8"/>
      <c r="J3" s="8"/>
      <c r="K3" s="8"/>
      <c r="L3" s="8"/>
    </row>
    <row r="4" spans="1:12" s="1" customFormat="1" ht="52" thickBot="1" x14ac:dyDescent="0.25">
      <c r="A4" s="9" t="s">
        <v>1</v>
      </c>
      <c r="B4" s="9" t="s">
        <v>8</v>
      </c>
      <c r="C4" s="11" t="s">
        <v>25</v>
      </c>
      <c r="D4" s="10" t="s">
        <v>9</v>
      </c>
      <c r="E4" s="10" t="s">
        <v>10</v>
      </c>
      <c r="F4" s="10" t="s">
        <v>11</v>
      </c>
      <c r="G4" s="10" t="s">
        <v>24</v>
      </c>
      <c r="H4" s="9" t="s">
        <v>13</v>
      </c>
      <c r="I4" s="9" t="s">
        <v>26</v>
      </c>
      <c r="J4" s="9" t="s">
        <v>15</v>
      </c>
      <c r="K4" s="9" t="s">
        <v>17</v>
      </c>
      <c r="L4" s="9" t="s">
        <v>27</v>
      </c>
    </row>
    <row r="5" spans="1:12" ht="17" thickTop="1" x14ac:dyDescent="0.2">
      <c r="A5" t="s">
        <v>2</v>
      </c>
      <c r="D5" s="3"/>
      <c r="E5" s="3"/>
      <c r="F5" s="3"/>
      <c r="G5" s="7">
        <v>0</v>
      </c>
      <c r="H5">
        <f>-2*(B5-C5)</f>
        <v>0</v>
      </c>
      <c r="I5">
        <f>H5-H$12</f>
        <v>0</v>
      </c>
      <c r="J5">
        <f>EXP(-0.5*I5)</f>
        <v>1</v>
      </c>
      <c r="K5">
        <f>J5/J$12</f>
        <v>0.16666666666666666</v>
      </c>
      <c r="L5" s="2">
        <f>K5*100</f>
        <v>16.666666666666664</v>
      </c>
    </row>
    <row r="6" spans="1:12" x14ac:dyDescent="0.2">
      <c r="A6" t="s">
        <v>3</v>
      </c>
      <c r="D6" s="3"/>
      <c r="E6" s="3"/>
      <c r="F6" s="3"/>
      <c r="G6" s="7">
        <v>0</v>
      </c>
      <c r="H6">
        <f t="shared" ref="H6:H10" si="0">-2*(B6-C6)</f>
        <v>0</v>
      </c>
      <c r="I6">
        <f t="shared" ref="I6:I10" si="1">H6-H$12</f>
        <v>0</v>
      </c>
      <c r="J6">
        <f t="shared" ref="J6:J10" si="2">EXP(-0.5*I6)</f>
        <v>1</v>
      </c>
      <c r="K6">
        <f t="shared" ref="K6:K10" si="3">J6/J$12</f>
        <v>0.16666666666666666</v>
      </c>
      <c r="L6" s="2">
        <f t="shared" ref="L6:L10" si="4">K6*100</f>
        <v>16.666666666666664</v>
      </c>
    </row>
    <row r="7" spans="1:12" x14ac:dyDescent="0.2">
      <c r="A7" t="s">
        <v>4</v>
      </c>
      <c r="D7" s="3"/>
      <c r="E7" s="3"/>
      <c r="F7" s="3"/>
      <c r="G7" s="7">
        <v>0</v>
      </c>
      <c r="H7">
        <f t="shared" si="0"/>
        <v>0</v>
      </c>
      <c r="I7">
        <f t="shared" si="1"/>
        <v>0</v>
      </c>
      <c r="J7">
        <f t="shared" si="2"/>
        <v>1</v>
      </c>
      <c r="K7">
        <f t="shared" si="3"/>
        <v>0.16666666666666666</v>
      </c>
      <c r="L7" s="2">
        <f t="shared" si="4"/>
        <v>16.666666666666664</v>
      </c>
    </row>
    <row r="8" spans="1:12" x14ac:dyDescent="0.2">
      <c r="A8" t="s">
        <v>5</v>
      </c>
      <c r="D8" s="3"/>
      <c r="E8" s="3"/>
      <c r="F8" s="3"/>
      <c r="G8" s="7">
        <v>0</v>
      </c>
      <c r="H8">
        <f t="shared" si="0"/>
        <v>0</v>
      </c>
      <c r="I8">
        <f t="shared" si="1"/>
        <v>0</v>
      </c>
      <c r="J8">
        <f t="shared" si="2"/>
        <v>1</v>
      </c>
      <c r="K8">
        <f t="shared" si="3"/>
        <v>0.16666666666666666</v>
      </c>
      <c r="L8" s="2">
        <f t="shared" si="4"/>
        <v>16.666666666666664</v>
      </c>
    </row>
    <row r="9" spans="1:12" x14ac:dyDescent="0.2">
      <c r="A9" t="s">
        <v>6</v>
      </c>
      <c r="D9" s="3"/>
      <c r="E9" s="3"/>
      <c r="F9" s="3"/>
      <c r="G9" s="7">
        <v>0</v>
      </c>
      <c r="H9">
        <f t="shared" si="0"/>
        <v>0</v>
      </c>
      <c r="I9">
        <f t="shared" si="1"/>
        <v>0</v>
      </c>
      <c r="J9">
        <f t="shared" si="2"/>
        <v>1</v>
      </c>
      <c r="K9">
        <f t="shared" si="3"/>
        <v>0.16666666666666666</v>
      </c>
      <c r="L9" s="2">
        <f t="shared" si="4"/>
        <v>16.666666666666664</v>
      </c>
    </row>
    <row r="10" spans="1:12" ht="17" thickBot="1" x14ac:dyDescent="0.25">
      <c r="A10" t="s">
        <v>7</v>
      </c>
      <c r="D10" s="3"/>
      <c r="E10" s="3"/>
      <c r="F10" s="3"/>
      <c r="G10" s="7">
        <v>0</v>
      </c>
      <c r="H10">
        <f t="shared" si="0"/>
        <v>0</v>
      </c>
      <c r="I10">
        <f t="shared" si="1"/>
        <v>0</v>
      </c>
      <c r="J10">
        <f t="shared" si="2"/>
        <v>1</v>
      </c>
      <c r="K10">
        <f t="shared" si="3"/>
        <v>0.16666666666666666</v>
      </c>
      <c r="L10" s="2">
        <f t="shared" si="4"/>
        <v>16.666666666666664</v>
      </c>
    </row>
    <row r="11" spans="1:12" ht="17" thickTop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G12" t="s">
        <v>14</v>
      </c>
      <c r="H12" s="12">
        <f>MIN(G5:G10)</f>
        <v>0</v>
      </c>
      <c r="I12" t="s">
        <v>16</v>
      </c>
      <c r="J12" s="12">
        <f>SUM(J5:J10)</f>
        <v>6</v>
      </c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9D2C-8E72-D64D-ADF7-FA1DE597EEC8}">
  <dimension ref="A2:L12"/>
  <sheetViews>
    <sheetView zoomScale="200" zoomScaleNormal="200" workbookViewId="0">
      <selection activeCell="J13" sqref="J13"/>
    </sheetView>
  </sheetViews>
  <sheetFormatPr baseColWidth="10" defaultRowHeight="16" x14ac:dyDescent="0.2"/>
  <cols>
    <col min="1" max="1" width="13.6640625" customWidth="1"/>
    <col min="3" max="3" width="6.1640625" customWidth="1"/>
    <col min="4" max="7" width="8.83203125" customWidth="1"/>
    <col min="8" max="8" width="12" customWidth="1"/>
    <col min="10" max="10" width="7.83203125" customWidth="1"/>
    <col min="11" max="11" width="7" customWidth="1"/>
    <col min="12" max="12" width="7.83203125" customWidth="1"/>
  </cols>
  <sheetData>
    <row r="2" spans="1:12" ht="17" thickBot="1" x14ac:dyDescent="0.25">
      <c r="A2" s="1" t="s">
        <v>0</v>
      </c>
    </row>
    <row r="3" spans="1:12" ht="17" thickTop="1" x14ac:dyDescent="0.2">
      <c r="A3" s="8"/>
      <c r="B3" s="8"/>
      <c r="C3" s="8"/>
      <c r="D3" s="13" t="s">
        <v>12</v>
      </c>
      <c r="E3" s="13"/>
      <c r="F3" s="13"/>
      <c r="G3" s="13"/>
      <c r="H3" s="8"/>
      <c r="I3" s="8"/>
      <c r="J3" s="8"/>
      <c r="K3" s="8"/>
      <c r="L3" s="8"/>
    </row>
    <row r="4" spans="1:12" s="4" customFormat="1" ht="50" customHeight="1" thickBot="1" x14ac:dyDescent="0.25">
      <c r="A4" s="9" t="s">
        <v>1</v>
      </c>
      <c r="B4" s="9" t="s">
        <v>8</v>
      </c>
      <c r="C4" s="11" t="s">
        <v>25</v>
      </c>
      <c r="D4" s="10" t="s">
        <v>9</v>
      </c>
      <c r="E4" s="10" t="s">
        <v>10</v>
      </c>
      <c r="F4" s="10" t="s">
        <v>11</v>
      </c>
      <c r="G4" s="10" t="s">
        <v>24</v>
      </c>
      <c r="H4" s="9" t="s">
        <v>13</v>
      </c>
      <c r="I4" s="9" t="s">
        <v>26</v>
      </c>
      <c r="J4" s="9" t="s">
        <v>15</v>
      </c>
      <c r="K4" s="9" t="s">
        <v>17</v>
      </c>
      <c r="L4" s="9" t="s">
        <v>27</v>
      </c>
    </row>
    <row r="5" spans="1:12" ht="17" thickTop="1" x14ac:dyDescent="0.2">
      <c r="A5" t="s">
        <v>2</v>
      </c>
      <c r="D5" s="3"/>
      <c r="E5" s="3"/>
      <c r="F5" s="3"/>
      <c r="G5" s="7">
        <v>0</v>
      </c>
      <c r="H5" s="5" t="s">
        <v>18</v>
      </c>
      <c r="I5" s="5" t="s">
        <v>29</v>
      </c>
      <c r="J5" s="5" t="s">
        <v>35</v>
      </c>
      <c r="K5" s="5" t="s">
        <v>41</v>
      </c>
      <c r="L5" s="6" t="s">
        <v>47</v>
      </c>
    </row>
    <row r="6" spans="1:12" x14ac:dyDescent="0.2">
      <c r="A6" t="s">
        <v>3</v>
      </c>
      <c r="D6" s="3"/>
      <c r="E6" s="3"/>
      <c r="F6" s="3"/>
      <c r="G6" s="7">
        <v>0</v>
      </c>
      <c r="H6" s="5" t="s">
        <v>19</v>
      </c>
      <c r="I6" s="5" t="s">
        <v>30</v>
      </c>
      <c r="J6" s="5" t="s">
        <v>36</v>
      </c>
      <c r="K6" s="5" t="s">
        <v>42</v>
      </c>
      <c r="L6" s="6" t="s">
        <v>48</v>
      </c>
    </row>
    <row r="7" spans="1:12" x14ac:dyDescent="0.2">
      <c r="A7" t="s">
        <v>4</v>
      </c>
      <c r="D7" s="3"/>
      <c r="E7" s="3"/>
      <c r="F7" s="3"/>
      <c r="G7" s="7">
        <v>0</v>
      </c>
      <c r="H7" s="5" t="s">
        <v>20</v>
      </c>
      <c r="I7" s="5" t="s">
        <v>31</v>
      </c>
      <c r="J7" s="5" t="s">
        <v>37</v>
      </c>
      <c r="K7" s="5" t="s">
        <v>43</v>
      </c>
      <c r="L7" s="6" t="s">
        <v>49</v>
      </c>
    </row>
    <row r="8" spans="1:12" x14ac:dyDescent="0.2">
      <c r="A8" t="s">
        <v>5</v>
      </c>
      <c r="D8" s="3"/>
      <c r="E8" s="3"/>
      <c r="F8" s="3"/>
      <c r="G8" s="7">
        <v>0</v>
      </c>
      <c r="H8" s="5" t="s">
        <v>21</v>
      </c>
      <c r="I8" s="5" t="s">
        <v>32</v>
      </c>
      <c r="J8" s="5" t="s">
        <v>38</v>
      </c>
      <c r="K8" s="5" t="s">
        <v>44</v>
      </c>
      <c r="L8" s="6" t="s">
        <v>50</v>
      </c>
    </row>
    <row r="9" spans="1:12" x14ac:dyDescent="0.2">
      <c r="A9" t="s">
        <v>6</v>
      </c>
      <c r="D9" s="3"/>
      <c r="E9" s="3"/>
      <c r="F9" s="3"/>
      <c r="G9" s="7">
        <v>0</v>
      </c>
      <c r="H9" s="5" t="s">
        <v>22</v>
      </c>
      <c r="I9" s="5" t="s">
        <v>33</v>
      </c>
      <c r="J9" s="5" t="s">
        <v>39</v>
      </c>
      <c r="K9" s="5" t="s">
        <v>45</v>
      </c>
      <c r="L9" s="6" t="s">
        <v>51</v>
      </c>
    </row>
    <row r="10" spans="1:12" ht="17" thickBot="1" x14ac:dyDescent="0.25">
      <c r="A10" t="s">
        <v>7</v>
      </c>
      <c r="D10" s="3"/>
      <c r="E10" s="3"/>
      <c r="F10" s="3"/>
      <c r="G10" s="7">
        <v>0</v>
      </c>
      <c r="H10" s="5" t="s">
        <v>23</v>
      </c>
      <c r="I10" s="5" t="s">
        <v>34</v>
      </c>
      <c r="J10" s="5" t="s">
        <v>40</v>
      </c>
      <c r="K10" s="5" t="s">
        <v>46</v>
      </c>
      <c r="L10" s="6" t="s">
        <v>52</v>
      </c>
    </row>
    <row r="11" spans="1:12" ht="17" thickTop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F12" t="s">
        <v>14</v>
      </c>
      <c r="H12" s="5" t="s">
        <v>53</v>
      </c>
      <c r="I12" t="s">
        <v>16</v>
      </c>
      <c r="J12" s="5" t="s">
        <v>54</v>
      </c>
    </row>
  </sheetData>
  <mergeCells count="1">
    <mergeCell ref="D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59B2-D09E-1046-B7EB-3063FEC026C6}">
  <dimension ref="A2:L12"/>
  <sheetViews>
    <sheetView zoomScale="200" zoomScaleNormal="200" workbookViewId="0">
      <selection activeCell="D8" sqref="D8"/>
    </sheetView>
  </sheetViews>
  <sheetFormatPr baseColWidth="10" defaultRowHeight="16" x14ac:dyDescent="0.2"/>
  <cols>
    <col min="1" max="1" width="13.6640625" customWidth="1"/>
    <col min="3" max="3" width="6.1640625" customWidth="1"/>
    <col min="4" max="7" width="8.83203125" customWidth="1"/>
    <col min="8" max="8" width="7.6640625" customWidth="1"/>
    <col min="10" max="10" width="7.83203125" customWidth="1"/>
    <col min="11" max="11" width="7" customWidth="1"/>
    <col min="12" max="12" width="7.83203125" customWidth="1"/>
  </cols>
  <sheetData>
    <row r="2" spans="1:12" ht="17" thickBot="1" x14ac:dyDescent="0.25">
      <c r="A2" s="1" t="s">
        <v>28</v>
      </c>
    </row>
    <row r="3" spans="1:12" ht="17" thickTop="1" x14ac:dyDescent="0.2">
      <c r="A3" s="8"/>
      <c r="B3" s="8"/>
      <c r="C3" s="8"/>
      <c r="D3" s="13" t="s">
        <v>12</v>
      </c>
      <c r="E3" s="13"/>
      <c r="F3" s="13"/>
      <c r="G3" s="13"/>
      <c r="H3" s="13"/>
      <c r="I3" s="8"/>
      <c r="J3" s="8"/>
      <c r="K3" s="8"/>
      <c r="L3" s="8"/>
    </row>
    <row r="4" spans="1:12" s="1" customFormat="1" ht="68" thickBot="1" x14ac:dyDescent="0.25">
      <c r="A4" s="9" t="s">
        <v>1</v>
      </c>
      <c r="B4" s="9" t="s">
        <v>8</v>
      </c>
      <c r="C4" s="11" t="s">
        <v>25</v>
      </c>
      <c r="D4" s="10" t="s">
        <v>9</v>
      </c>
      <c r="E4" s="10" t="s">
        <v>10</v>
      </c>
      <c r="F4" s="10" t="s">
        <v>11</v>
      </c>
      <c r="G4" s="10" t="s">
        <v>24</v>
      </c>
      <c r="H4" s="9" t="s">
        <v>13</v>
      </c>
      <c r="I4" s="9" t="s">
        <v>26</v>
      </c>
      <c r="J4" s="9" t="s">
        <v>15</v>
      </c>
      <c r="K4" s="9" t="s">
        <v>17</v>
      </c>
      <c r="L4" s="9" t="s">
        <v>27</v>
      </c>
    </row>
    <row r="5" spans="1:12" ht="17" thickTop="1" x14ac:dyDescent="0.2">
      <c r="A5" t="s">
        <v>2</v>
      </c>
      <c r="B5">
        <v>-34.54</v>
      </c>
      <c r="C5">
        <v>2</v>
      </c>
      <c r="D5" s="3">
        <v>3.5000000000000003E-2</v>
      </c>
      <c r="E5" s="3">
        <v>2.8000000000000001E-2</v>
      </c>
      <c r="F5" s="3">
        <v>0</v>
      </c>
      <c r="G5" s="7">
        <v>0</v>
      </c>
      <c r="H5">
        <f>-2*(B5-C5)</f>
        <v>73.08</v>
      </c>
      <c r="I5">
        <f>H5-H$12</f>
        <v>25.184882000000002</v>
      </c>
      <c r="J5">
        <f>EXP(-0.5*I5)</f>
        <v>3.3976008764020256E-6</v>
      </c>
      <c r="K5">
        <f>J5/J$12</f>
        <v>1.4058516196965509E-6</v>
      </c>
      <c r="L5" s="2">
        <f>K5*100</f>
        <v>1.4058516196965509E-4</v>
      </c>
    </row>
    <row r="6" spans="1:12" x14ac:dyDescent="0.2">
      <c r="A6" t="s">
        <v>3</v>
      </c>
      <c r="B6">
        <v>-20.947558999999998</v>
      </c>
      <c r="C6">
        <v>3</v>
      </c>
      <c r="D6" s="3">
        <v>9.9999999999999998E-13</v>
      </c>
      <c r="E6" s="3">
        <v>9.9999999999999998E-13</v>
      </c>
      <c r="F6" s="3">
        <v>0.1142702</v>
      </c>
      <c r="G6" s="7">
        <v>0</v>
      </c>
      <c r="H6">
        <f t="shared" ref="H6:H10" si="0">-2*(B6-C6)</f>
        <v>47.895117999999997</v>
      </c>
      <c r="I6">
        <f t="shared" ref="I6:I10" si="1">H6-H$12</f>
        <v>0</v>
      </c>
      <c r="J6">
        <f t="shared" ref="J6:J10" si="2">EXP(-0.5*I6)</f>
        <v>1</v>
      </c>
      <c r="K6">
        <f t="shared" ref="K6:K10" si="3">J6/J$12</f>
        <v>0.41377774224773356</v>
      </c>
      <c r="L6" s="2">
        <f t="shared" ref="L6:L10" si="4">K6*100</f>
        <v>41.377774224773354</v>
      </c>
    </row>
    <row r="7" spans="1:12" x14ac:dyDescent="0.2">
      <c r="A7" t="s">
        <v>4</v>
      </c>
      <c r="B7">
        <v>-33.151699999999998</v>
      </c>
      <c r="C7">
        <v>2</v>
      </c>
      <c r="D7" s="3">
        <v>4.4732859999999999E-2</v>
      </c>
      <c r="E7" s="3">
        <v>3.7435970000000001E-9</v>
      </c>
      <c r="F7" s="3">
        <v>0</v>
      </c>
      <c r="G7" s="7">
        <v>0</v>
      </c>
      <c r="H7">
        <f t="shared" si="0"/>
        <v>70.303399999999996</v>
      </c>
      <c r="I7">
        <f t="shared" si="1"/>
        <v>22.408282</v>
      </c>
      <c r="J7">
        <f t="shared" si="2"/>
        <v>1.3617688299851134E-5</v>
      </c>
      <c r="K7">
        <f t="shared" si="3"/>
        <v>5.6346963193457795E-6</v>
      </c>
      <c r="L7" s="2">
        <f t="shared" si="4"/>
        <v>5.6346963193457794E-4</v>
      </c>
    </row>
    <row r="8" spans="1:12" x14ac:dyDescent="0.2">
      <c r="A8" t="s">
        <v>5</v>
      </c>
      <c r="B8">
        <v>-21.085999999999999</v>
      </c>
      <c r="C8">
        <v>3</v>
      </c>
      <c r="D8" s="3">
        <v>9.9999999999999998E-13</v>
      </c>
      <c r="E8" s="3">
        <v>9.9999999999999998E-13</v>
      </c>
      <c r="F8" s="3">
        <v>0.1157</v>
      </c>
      <c r="G8" s="7">
        <v>0</v>
      </c>
      <c r="H8">
        <f t="shared" si="0"/>
        <v>48.171999999999997</v>
      </c>
      <c r="I8">
        <f t="shared" si="1"/>
        <v>0.27688200000000052</v>
      </c>
      <c r="J8">
        <f t="shared" si="2"/>
        <v>0.87071462191636018</v>
      </c>
      <c r="K8">
        <f t="shared" si="3"/>
        <v>0.36028233039864044</v>
      </c>
      <c r="L8" s="2">
        <f t="shared" si="4"/>
        <v>36.028233039864041</v>
      </c>
    </row>
    <row r="9" spans="1:12" x14ac:dyDescent="0.2">
      <c r="A9" t="s">
        <v>6</v>
      </c>
      <c r="B9">
        <v>-40.334609999999998</v>
      </c>
      <c r="C9">
        <v>2</v>
      </c>
      <c r="D9" s="3">
        <v>1.8688400000000001E-2</v>
      </c>
      <c r="E9" s="3">
        <v>0.30590990000000001</v>
      </c>
      <c r="F9" s="3">
        <v>0</v>
      </c>
      <c r="G9" s="7">
        <v>0</v>
      </c>
      <c r="H9">
        <f t="shared" si="0"/>
        <v>84.669219999999996</v>
      </c>
      <c r="I9">
        <f t="shared" si="1"/>
        <v>36.774101999999999</v>
      </c>
      <c r="J9">
        <f t="shared" si="2"/>
        <v>1.0342016164273005E-8</v>
      </c>
      <c r="K9">
        <f t="shared" si="3"/>
        <v>4.2792960987424496E-9</v>
      </c>
      <c r="L9" s="2">
        <f t="shared" si="4"/>
        <v>4.2792960987424494E-7</v>
      </c>
    </row>
    <row r="10" spans="1:12" ht="17" thickBot="1" x14ac:dyDescent="0.25">
      <c r="A10" t="s">
        <v>7</v>
      </c>
      <c r="B10">
        <v>-21.55265</v>
      </c>
      <c r="C10">
        <v>3</v>
      </c>
      <c r="D10" s="3">
        <v>9.9999999999999995E-8</v>
      </c>
      <c r="E10" s="3">
        <v>9.9999999999999995E-8</v>
      </c>
      <c r="F10" s="3">
        <v>0.1081178</v>
      </c>
      <c r="G10" s="7">
        <v>0</v>
      </c>
      <c r="H10">
        <f t="shared" si="0"/>
        <v>49.1053</v>
      </c>
      <c r="I10">
        <f t="shared" si="1"/>
        <v>1.2101820000000032</v>
      </c>
      <c r="J10">
        <f t="shared" si="2"/>
        <v>0.54602473612783686</v>
      </c>
      <c r="K10">
        <f t="shared" si="3"/>
        <v>0.22593288252639079</v>
      </c>
      <c r="L10" s="2">
        <f t="shared" si="4"/>
        <v>22.593288252639081</v>
      </c>
    </row>
    <row r="11" spans="1:12" ht="17" thickTop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F12" t="s">
        <v>14</v>
      </c>
      <c r="H12">
        <f>MIN(H5:H10)</f>
        <v>47.895117999999997</v>
      </c>
      <c r="I12" t="s">
        <v>16</v>
      </c>
      <c r="J12">
        <f>SUM(J5:J10)</f>
        <v>2.4167563836753896</v>
      </c>
    </row>
  </sheetData>
  <mergeCells count="1">
    <mergeCell ref="D3:H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</vt:lpstr>
      <vt:lpstr>formulas</vt:lpstr>
      <vt:lpstr>filled_in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Wallis Bland</dc:creator>
  <cp:lastModifiedBy>Nicholas Matzke</cp:lastModifiedBy>
  <dcterms:created xsi:type="dcterms:W3CDTF">2024-09-17T02:38:27Z</dcterms:created>
  <dcterms:modified xsi:type="dcterms:W3CDTF">2026-10-12T02:54:15Z</dcterms:modified>
</cp:coreProperties>
</file>