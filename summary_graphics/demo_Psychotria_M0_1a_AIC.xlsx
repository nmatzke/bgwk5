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System/Volumes/Data/GitHub/bgwk5/summary_graphics/"/>
    </mc:Choice>
  </mc:AlternateContent>
  <xr:revisionPtr revIDLastSave="0" documentId="13_ncr:1_{A88CBAEC-E844-0544-85A3-20E668EF05E0}" xr6:coauthVersionLast="47" xr6:coauthVersionMax="47" xr10:uidLastSave="{00000000-0000-0000-0000-000000000000}"/>
  <bookViews>
    <workbookView xWindow="0" yWindow="500" windowWidth="28000" windowHeight="17500" activeTab="2" xr2:uid="{630A2355-7C92-714B-8701-15F8D109B3E6}"/>
  </bookViews>
  <sheets>
    <sheet name="blank" sheetId="2" r:id="rId1"/>
    <sheet name="formulas" sheetId="3" r:id="rId2"/>
    <sheet name="filled_in" sheetId="1" r:id="rId3"/>
  </sheets>
  <definedNames>
    <definedName name="_xlnm.Print_Area" localSheetId="2">filled_in!$A$2:$M$17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1" l="1"/>
  <c r="I18" i="1"/>
  <c r="H20" i="1"/>
  <c r="H18" i="1"/>
  <c r="J18" i="1"/>
  <c r="H17" i="1"/>
  <c r="H11" i="1"/>
  <c r="H12" i="1"/>
  <c r="H13" i="1"/>
  <c r="H14" i="1"/>
  <c r="H15" i="1"/>
  <c r="H16" i="1"/>
  <c r="I5" i="2"/>
  <c r="H10" i="2"/>
  <c r="I10" i="2" s="1"/>
  <c r="J10" i="2" s="1"/>
  <c r="H9" i="2"/>
  <c r="I9" i="2" s="1"/>
  <c r="J9" i="2" s="1"/>
  <c r="H8" i="2"/>
  <c r="I8" i="2" s="1"/>
  <c r="J8" i="2" s="1"/>
  <c r="I7" i="2"/>
  <c r="J7" i="2" s="1"/>
  <c r="H7" i="2"/>
  <c r="I6" i="2"/>
  <c r="J6" i="2" s="1"/>
  <c r="H6" i="2"/>
  <c r="H5" i="2"/>
  <c r="J5" i="2" s="1"/>
  <c r="H5" i="1"/>
  <c r="H6" i="1"/>
  <c r="H7" i="1"/>
  <c r="H8" i="1"/>
  <c r="H9" i="1"/>
  <c r="H10" i="1"/>
  <c r="I17" i="1" l="1"/>
  <c r="J17" i="1" s="1"/>
  <c r="I5" i="1"/>
  <c r="J5" i="1" s="1"/>
  <c r="I15" i="1"/>
  <c r="J15" i="1" s="1"/>
  <c r="I16" i="1"/>
  <c r="J16" i="1" s="1"/>
  <c r="I14" i="1"/>
  <c r="J14" i="1" s="1"/>
  <c r="I13" i="1"/>
  <c r="J13" i="1" s="1"/>
  <c r="I12" i="1"/>
  <c r="J12" i="1" s="1"/>
  <c r="I11" i="1"/>
  <c r="J11" i="1" s="1"/>
  <c r="H12" i="2"/>
  <c r="I6" i="1" l="1"/>
  <c r="J6" i="1" s="1"/>
  <c r="I9" i="1"/>
  <c r="J9" i="1" s="1"/>
  <c r="I10" i="1"/>
  <c r="J10" i="1" s="1"/>
  <c r="I8" i="1"/>
  <c r="J8" i="1" s="1"/>
  <c r="I7" i="1"/>
  <c r="J7" i="1" s="1"/>
  <c r="K18" i="1" l="1"/>
  <c r="L18" i="1" s="1"/>
  <c r="K16" i="1"/>
  <c r="L16" i="1" s="1"/>
  <c r="K15" i="1"/>
  <c r="L15" i="1" s="1"/>
  <c r="J12" i="2"/>
  <c r="K17" i="1" l="1"/>
  <c r="L17" i="1" s="1"/>
  <c r="K11" i="1"/>
  <c r="L11" i="1" s="1"/>
  <c r="K13" i="1"/>
  <c r="L13" i="1" s="1"/>
  <c r="K14" i="1"/>
  <c r="L14" i="1" s="1"/>
  <c r="K12" i="1"/>
  <c r="L12" i="1" s="1"/>
  <c r="K10" i="1"/>
  <c r="L10" i="1" s="1"/>
  <c r="K5" i="2"/>
  <c r="L5" i="2" s="1"/>
  <c r="K7" i="2"/>
  <c r="L7" i="2" s="1"/>
  <c r="K8" i="2"/>
  <c r="L8" i="2" s="1"/>
  <c r="K6" i="2"/>
  <c r="L6" i="2" s="1"/>
  <c r="K9" i="2"/>
  <c r="L9" i="2" s="1"/>
  <c r="K10" i="2"/>
  <c r="L10" i="2" s="1"/>
  <c r="K8" i="1"/>
  <c r="L8" i="1" s="1"/>
  <c r="K6" i="1"/>
  <c r="L6" i="1" s="1"/>
  <c r="K7" i="1"/>
  <c r="L7" i="1" s="1"/>
  <c r="K9" i="1"/>
  <c r="L9" i="1" s="1"/>
  <c r="K5" i="1"/>
  <c r="L5" i="1" s="1"/>
</calcChain>
</file>

<file path=xl/sharedStrings.xml><?xml version="1.0" encoding="utf-8"?>
<sst xmlns="http://schemas.openxmlformats.org/spreadsheetml/2006/main" count="124" uniqueCount="62">
  <si>
    <t>Example AIC table from scratch</t>
  </si>
  <si>
    <t>Model</t>
  </si>
  <si>
    <t>DEC</t>
  </si>
  <si>
    <t>DEC+J</t>
  </si>
  <si>
    <t>DIVALIKE</t>
  </si>
  <si>
    <t>DIVALIKE+J</t>
  </si>
  <si>
    <t>BAYAREALIKE</t>
  </si>
  <si>
    <t>BAYAREALIKE+J</t>
  </si>
  <si>
    <t>lnL</t>
  </si>
  <si>
    <t>d</t>
  </si>
  <si>
    <t>e</t>
  </si>
  <si>
    <t>j</t>
  </si>
  <si>
    <t>parameters</t>
  </si>
  <si>
    <t>AIC</t>
  </si>
  <si>
    <t>bestAIC=</t>
  </si>
  <si>
    <t>rel. like.</t>
  </si>
  <si>
    <t>sumRelLike</t>
  </si>
  <si>
    <t>AICweight</t>
  </si>
  <si>
    <t>-2*(B5-C5)</t>
  </si>
  <si>
    <t>-2*(B6-C6)</t>
  </si>
  <si>
    <t>-2*(B7-C7)</t>
  </si>
  <si>
    <t>-2*(B8-C8)</t>
  </si>
  <si>
    <t>-2*(B9-C9)</t>
  </si>
  <si>
    <t>-2*(B10-C10)</t>
  </si>
  <si>
    <t>x</t>
  </si>
  <si>
    <t># free parameters</t>
  </si>
  <si>
    <t>diff. from best AIC</t>
  </si>
  <si>
    <t>AIC % weight</t>
  </si>
  <si>
    <t>Example AIC table from scratch - Psychotria</t>
  </si>
  <si>
    <t>=H5-H$12</t>
  </si>
  <si>
    <t>=H6-H$12</t>
  </si>
  <si>
    <t>=H7-H$12</t>
  </si>
  <si>
    <t>=H8-H$12</t>
  </si>
  <si>
    <t>=H9-H$12</t>
  </si>
  <si>
    <t>=H10-H$12</t>
  </si>
  <si>
    <t>=EXP(-0.5*I5)</t>
  </si>
  <si>
    <t>=EXP(-0.5*I6)</t>
  </si>
  <si>
    <t>=EXP(-0.5*I7)</t>
  </si>
  <si>
    <t>=EXP(-0.5*I8)</t>
  </si>
  <si>
    <t>=EXP(-0.5*I9)</t>
  </si>
  <si>
    <t>=EXP(-0.5*I10)</t>
  </si>
  <si>
    <t>=J5/J$12</t>
  </si>
  <si>
    <t>=J6/J$12</t>
  </si>
  <si>
    <t>=J7/J$12</t>
  </si>
  <si>
    <t>=J8/J$12</t>
  </si>
  <si>
    <t>=J9/J$12</t>
  </si>
  <si>
    <t>=J10/J$12</t>
  </si>
  <si>
    <t>=K5*100</t>
  </si>
  <si>
    <t>=K6*100</t>
  </si>
  <si>
    <t>=K7*100</t>
  </si>
  <si>
    <t>=K8*100</t>
  </si>
  <si>
    <t>=K9*100</t>
  </si>
  <si>
    <t>=K10*100</t>
  </si>
  <si>
    <t>=MIN(H5:H10)</t>
  </si>
  <si>
    <t>=SUM(J5:J10)</t>
  </si>
  <si>
    <t>%</t>
  </si>
  <si>
    <t>AICc</t>
  </si>
  <si>
    <t>BIC</t>
  </si>
  <si>
    <t>BIC weight</t>
  </si>
  <si>
    <t>DEC+J+w</t>
  </si>
  <si>
    <t>DEC+w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</si>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</sst>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4" fillId="0" borderId="0" xfId="0" quotePrefix="1" applyFont="1" applyAlignment="1">
      <alignment horizontal="left"/>
    </xf>
    <xf numFmtId="2" fontId="4" fillId="0" borderId="0" xfId="0" quotePrefix="1" applyNumberFormat="1" applyFont="1" applyAlignment="1">
      <alignment horizontal="left"/>
    </xf>
    <xf numFmtId="1" fontId="5" fillId="0" borderId="0" xfId="0" applyNumberFormat="1" applyFont="1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textRotation="90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F9B6B-0A22-1341-A213-5880E22038EA}">
  <dimension ref="A2:L12"/>
  <sheetViews>
    <sheetView zoomScale="200" zoomScaleNormal="200" workbookViewId="0">
      <selection activeCell="J5" sqref="J5"/>
    </sheetView>
  </sheetViews>
  <sheetFormatPr baseColWidth="10" defaultRowHeight="16" x14ac:dyDescent="0.2"/>
  <cols>
    <col min="1" max="1" width="13.6640625" customWidth="1"/>
    <col min="3" max="3" width="6.1640625" customWidth="1"/>
    <col min="4" max="6" width="8.83203125" customWidth="1"/>
    <col min="7" max="7" width="7.6640625" customWidth="1"/>
    <col min="9" max="9" width="7.83203125" customWidth="1"/>
    <col min="10" max="10" width="7" customWidth="1"/>
    <col min="11" max="11" width="7.83203125" customWidth="1"/>
  </cols>
  <sheetData>
    <row r="2" spans="1:12" ht="17" thickBot="1" x14ac:dyDescent="0.25">
      <c r="A2" s="1" t="s">
        <v>0</v>
      </c>
    </row>
    <row r="3" spans="1:12" ht="17" thickTop="1" x14ac:dyDescent="0.2">
      <c r="A3" s="8"/>
      <c r="B3" s="8"/>
      <c r="C3" s="8"/>
      <c r="D3" s="13" t="s">
        <v>12</v>
      </c>
      <c r="E3" s="13"/>
      <c r="F3" s="13"/>
      <c r="G3" s="13"/>
      <c r="H3" s="8"/>
      <c r="I3" s="8"/>
      <c r="J3" s="8"/>
      <c r="K3" s="8"/>
      <c r="L3" s="8"/>
    </row>
    <row r="4" spans="1:12" s="1" customFormat="1" ht="52" thickBot="1" x14ac:dyDescent="0.25">
      <c r="A4" s="9" t="s">
        <v>1</v>
      </c>
      <c r="B4" s="9" t="s">
        <v>8</v>
      </c>
      <c r="C4" s="11" t="s">
        <v>25</v>
      </c>
      <c r="D4" s="10" t="s">
        <v>9</v>
      </c>
      <c r="E4" s="10" t="s">
        <v>10</v>
      </c>
      <c r="F4" s="10" t="s">
        <v>11</v>
      </c>
      <c r="G4" s="10" t="s">
        <v>24</v>
      </c>
      <c r="H4" s="9" t="s">
        <v>13</v>
      </c>
      <c r="I4" s="9" t="s">
        <v>26</v>
      </c>
      <c r="J4" s="9" t="s">
        <v>15</v>
      </c>
      <c r="K4" s="9" t="s">
        <v>17</v>
      </c>
      <c r="L4" s="9" t="s">
        <v>27</v>
      </c>
    </row>
    <row r="5" spans="1:12" ht="17" thickTop="1" x14ac:dyDescent="0.2">
      <c r="A5" t="s">
        <v>2</v>
      </c>
      <c r="D5" s="3"/>
      <c r="E5" s="3"/>
      <c r="F5" s="3"/>
      <c r="G5" s="7">
        <v>0</v>
      </c>
      <c r="H5">
        <f>-2*(B5-C5)</f>
        <v>0</v>
      </c>
      <c r="I5">
        <f>H5-H$12</f>
        <v>0</v>
      </c>
      <c r="J5">
        <f>EXP(-0.5*I5)</f>
        <v>1</v>
      </c>
      <c r="K5">
        <f>J5/J$12</f>
        <v>0.16666666666666666</v>
      </c>
      <c r="L5" s="2">
        <f>K5*100</f>
        <v>16.666666666666664</v>
      </c>
    </row>
    <row r="6" spans="1:12" x14ac:dyDescent="0.2">
      <c r="A6" t="s">
        <v>3</v>
      </c>
      <c r="D6" s="3"/>
      <c r="E6" s="3"/>
      <c r="F6" s="3"/>
      <c r="G6" s="7">
        <v>0</v>
      </c>
      <c r="H6">
        <f t="shared" ref="H6:H10" si="0">-2*(B6-C6)</f>
        <v>0</v>
      </c>
      <c r="I6">
        <f t="shared" ref="I6:I10" si="1">H6-H$12</f>
        <v>0</v>
      </c>
      <c r="J6">
        <f t="shared" ref="J6:J10" si="2">EXP(-0.5*I6)</f>
        <v>1</v>
      </c>
      <c r="K6">
        <f t="shared" ref="K6:K10" si="3">J6/J$12</f>
        <v>0.16666666666666666</v>
      </c>
      <c r="L6" s="2">
        <f t="shared" ref="L6:L10" si="4">K6*100</f>
        <v>16.666666666666664</v>
      </c>
    </row>
    <row r="7" spans="1:12" x14ac:dyDescent="0.2">
      <c r="A7" t="s">
        <v>4</v>
      </c>
      <c r="D7" s="3"/>
      <c r="E7" s="3"/>
      <c r="F7" s="3"/>
      <c r="G7" s="7">
        <v>0</v>
      </c>
      <c r="H7">
        <f t="shared" si="0"/>
        <v>0</v>
      </c>
      <c r="I7">
        <f t="shared" si="1"/>
        <v>0</v>
      </c>
      <c r="J7">
        <f t="shared" si="2"/>
        <v>1</v>
      </c>
      <c r="K7">
        <f t="shared" si="3"/>
        <v>0.16666666666666666</v>
      </c>
      <c r="L7" s="2">
        <f t="shared" si="4"/>
        <v>16.666666666666664</v>
      </c>
    </row>
    <row r="8" spans="1:12" x14ac:dyDescent="0.2">
      <c r="A8" t="s">
        <v>5</v>
      </c>
      <c r="D8" s="3"/>
      <c r="E8" s="3"/>
      <c r="F8" s="3"/>
      <c r="G8" s="7">
        <v>0</v>
      </c>
      <c r="H8">
        <f t="shared" si="0"/>
        <v>0</v>
      </c>
      <c r="I8">
        <f t="shared" si="1"/>
        <v>0</v>
      </c>
      <c r="J8">
        <f t="shared" si="2"/>
        <v>1</v>
      </c>
      <c r="K8">
        <f t="shared" si="3"/>
        <v>0.16666666666666666</v>
      </c>
      <c r="L8" s="2">
        <f t="shared" si="4"/>
        <v>16.666666666666664</v>
      </c>
    </row>
    <row r="9" spans="1:12" x14ac:dyDescent="0.2">
      <c r="A9" t="s">
        <v>6</v>
      </c>
      <c r="D9" s="3"/>
      <c r="E9" s="3"/>
      <c r="F9" s="3"/>
      <c r="G9" s="7">
        <v>0</v>
      </c>
      <c r="H9">
        <f t="shared" si="0"/>
        <v>0</v>
      </c>
      <c r="I9">
        <f t="shared" si="1"/>
        <v>0</v>
      </c>
      <c r="J9">
        <f t="shared" si="2"/>
        <v>1</v>
      </c>
      <c r="K9">
        <f t="shared" si="3"/>
        <v>0.16666666666666666</v>
      </c>
      <c r="L9" s="2">
        <f t="shared" si="4"/>
        <v>16.666666666666664</v>
      </c>
    </row>
    <row r="10" spans="1:12" ht="17" thickBot="1" x14ac:dyDescent="0.25">
      <c r="A10" t="s">
        <v>7</v>
      </c>
      <c r="D10" s="3"/>
      <c r="E10" s="3"/>
      <c r="F10" s="3"/>
      <c r="G10" s="7">
        <v>0</v>
      </c>
      <c r="H10">
        <f t="shared" si="0"/>
        <v>0</v>
      </c>
      <c r="I10">
        <f t="shared" si="1"/>
        <v>0</v>
      </c>
      <c r="J10">
        <f t="shared" si="2"/>
        <v>1</v>
      </c>
      <c r="K10">
        <f t="shared" si="3"/>
        <v>0.16666666666666666</v>
      </c>
      <c r="L10" s="2">
        <f t="shared" si="4"/>
        <v>16.666666666666664</v>
      </c>
    </row>
    <row r="11" spans="1:12" ht="17" thickTop="1" x14ac:dyDescent="0.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 x14ac:dyDescent="0.2">
      <c r="G12" t="s">
        <v>14</v>
      </c>
      <c r="H12" s="12">
        <f>MIN(G5:G10)</f>
        <v>0</v>
      </c>
      <c r="I12" t="s">
        <v>16</v>
      </c>
      <c r="J12" s="12">
        <f>SUM(J5:J10)</f>
        <v>6</v>
      </c>
    </row>
  </sheetData>
  <mergeCells count="1">
    <mergeCell ref="D3:G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39D2C-8E72-D64D-ADF7-FA1DE597EEC8}">
  <dimension ref="A2:L12"/>
  <sheetViews>
    <sheetView zoomScale="200" zoomScaleNormal="200" workbookViewId="0">
      <selection activeCell="J13" sqref="J13"/>
    </sheetView>
  </sheetViews>
  <sheetFormatPr baseColWidth="10" defaultRowHeight="16" x14ac:dyDescent="0.2"/>
  <cols>
    <col min="1" max="1" width="13.6640625" customWidth="1"/>
    <col min="3" max="3" width="6.1640625" customWidth="1"/>
    <col min="4" max="7" width="8.83203125" customWidth="1"/>
    <col min="8" max="8" width="12" customWidth="1"/>
    <col min="10" max="10" width="7.83203125" customWidth="1"/>
    <col min="11" max="11" width="7" customWidth="1"/>
    <col min="12" max="12" width="7.83203125" customWidth="1"/>
  </cols>
  <sheetData>
    <row r="2" spans="1:12" ht="17" thickBot="1" x14ac:dyDescent="0.25">
      <c r="A2" s="1" t="s">
        <v>0</v>
      </c>
    </row>
    <row r="3" spans="1:12" ht="17" thickTop="1" x14ac:dyDescent="0.2">
      <c r="A3" s="8"/>
      <c r="B3" s="8"/>
      <c r="C3" s="8"/>
      <c r="D3" s="13" t="s">
        <v>12</v>
      </c>
      <c r="E3" s="13"/>
      <c r="F3" s="13"/>
      <c r="G3" s="13"/>
      <c r="H3" s="8"/>
      <c r="I3" s="8"/>
      <c r="J3" s="8"/>
      <c r="K3" s="8"/>
      <c r="L3" s="8"/>
    </row>
    <row r="4" spans="1:12" s="4" customFormat="1" ht="50" customHeight="1" thickBot="1" x14ac:dyDescent="0.25">
      <c r="A4" s="9" t="s">
        <v>1</v>
      </c>
      <c r="B4" s="9" t="s">
        <v>8</v>
      </c>
      <c r="C4" s="11" t="s">
        <v>25</v>
      </c>
      <c r="D4" s="10" t="s">
        <v>9</v>
      </c>
      <c r="E4" s="10" t="s">
        <v>10</v>
      </c>
      <c r="F4" s="10" t="s">
        <v>11</v>
      </c>
      <c r="G4" s="10" t="s">
        <v>24</v>
      </c>
      <c r="H4" s="9" t="s">
        <v>13</v>
      </c>
      <c r="I4" s="9" t="s">
        <v>26</v>
      </c>
      <c r="J4" s="9" t="s">
        <v>15</v>
      </c>
      <c r="K4" s="9" t="s">
        <v>17</v>
      </c>
      <c r="L4" s="9" t="s">
        <v>27</v>
      </c>
    </row>
    <row r="5" spans="1:12" ht="17" thickTop="1" x14ac:dyDescent="0.2">
      <c r="A5" t="s">
        <v>2</v>
      </c>
      <c r="D5" s="3"/>
      <c r="E5" s="3"/>
      <c r="F5" s="3"/>
      <c r="G5" s="7">
        <v>0</v>
      </c>
      <c r="H5" s="5" t="s">
        <v>18</v>
      </c>
      <c r="I5" s="5" t="s">
        <v>29</v>
      </c>
      <c r="J5" s="5" t="s">
        <v>35</v>
      </c>
      <c r="K5" s="5" t="s">
        <v>41</v>
      </c>
      <c r="L5" s="6" t="s">
        <v>47</v>
      </c>
    </row>
    <row r="6" spans="1:12" x14ac:dyDescent="0.2">
      <c r="A6" t="s">
        <v>3</v>
      </c>
      <c r="D6" s="3"/>
      <c r="E6" s="3"/>
      <c r="F6" s="3"/>
      <c r="G6" s="7">
        <v>0</v>
      </c>
      <c r="H6" s="5" t="s">
        <v>19</v>
      </c>
      <c r="I6" s="5" t="s">
        <v>30</v>
      </c>
      <c r="J6" s="5" t="s">
        <v>36</v>
      </c>
      <c r="K6" s="5" t="s">
        <v>42</v>
      </c>
      <c r="L6" s="6" t="s">
        <v>48</v>
      </c>
    </row>
    <row r="7" spans="1:12" x14ac:dyDescent="0.2">
      <c r="A7" t="s">
        <v>4</v>
      </c>
      <c r="D7" s="3"/>
      <c r="E7" s="3"/>
      <c r="F7" s="3"/>
      <c r="G7" s="7">
        <v>0</v>
      </c>
      <c r="H7" s="5" t="s">
        <v>20</v>
      </c>
      <c r="I7" s="5" t="s">
        <v>31</v>
      </c>
      <c r="J7" s="5" t="s">
        <v>37</v>
      </c>
      <c r="K7" s="5" t="s">
        <v>43</v>
      </c>
      <c r="L7" s="6" t="s">
        <v>49</v>
      </c>
    </row>
    <row r="8" spans="1:12" x14ac:dyDescent="0.2">
      <c r="A8" t="s">
        <v>5</v>
      </c>
      <c r="D8" s="3"/>
      <c r="E8" s="3"/>
      <c r="F8" s="3"/>
      <c r="G8" s="7">
        <v>0</v>
      </c>
      <c r="H8" s="5" t="s">
        <v>21</v>
      </c>
      <c r="I8" s="5" t="s">
        <v>32</v>
      </c>
      <c r="J8" s="5" t="s">
        <v>38</v>
      </c>
      <c r="K8" s="5" t="s">
        <v>44</v>
      </c>
      <c r="L8" s="6" t="s">
        <v>50</v>
      </c>
    </row>
    <row r="9" spans="1:12" x14ac:dyDescent="0.2">
      <c r="A9" t="s">
        <v>6</v>
      </c>
      <c r="D9" s="3"/>
      <c r="E9" s="3"/>
      <c r="F9" s="3"/>
      <c r="G9" s="7">
        <v>0</v>
      </c>
      <c r="H9" s="5" t="s">
        <v>22</v>
      </c>
      <c r="I9" s="5" t="s">
        <v>33</v>
      </c>
      <c r="J9" s="5" t="s">
        <v>39</v>
      </c>
      <c r="K9" s="5" t="s">
        <v>45</v>
      </c>
      <c r="L9" s="6" t="s">
        <v>51</v>
      </c>
    </row>
    <row r="10" spans="1:12" ht="17" thickBot="1" x14ac:dyDescent="0.25">
      <c r="A10" t="s">
        <v>7</v>
      </c>
      <c r="D10" s="3"/>
      <c r="E10" s="3"/>
      <c r="F10" s="3"/>
      <c r="G10" s="7">
        <v>0</v>
      </c>
      <c r="H10" s="5" t="s">
        <v>23</v>
      </c>
      <c r="I10" s="5" t="s">
        <v>34</v>
      </c>
      <c r="J10" s="5" t="s">
        <v>40</v>
      </c>
      <c r="K10" s="5" t="s">
        <v>46</v>
      </c>
      <c r="L10" s="6" t="s">
        <v>52</v>
      </c>
    </row>
    <row r="11" spans="1:12" ht="17" thickTop="1" x14ac:dyDescent="0.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 x14ac:dyDescent="0.2">
      <c r="F12" t="s">
        <v>14</v>
      </c>
      <c r="H12" s="5" t="s">
        <v>53</v>
      </c>
      <c r="I12" t="s">
        <v>16</v>
      </c>
      <c r="J12" s="5" t="s">
        <v>54</v>
      </c>
    </row>
  </sheetData>
  <mergeCells count="1">
    <mergeCell ref="D3:G3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959B2-D09E-1046-B7EB-3063FEC026C6}">
  <dimension ref="A2:Q20"/>
  <sheetViews>
    <sheetView tabSelected="1" zoomScale="150" zoomScaleNormal="150" workbookViewId="0">
      <selection activeCell="G18" sqref="G18"/>
    </sheetView>
  </sheetViews>
  <sheetFormatPr baseColWidth="10" defaultRowHeight="16" x14ac:dyDescent="0.2"/>
  <cols>
    <col min="1" max="1" width="13.6640625" customWidth="1"/>
    <col min="3" max="3" width="6.1640625" customWidth="1"/>
    <col min="4" max="7" width="8.83203125" customWidth="1"/>
    <col min="8" max="12" width="6.33203125" customWidth="1"/>
  </cols>
  <sheetData>
    <row r="2" spans="1:17" ht="17" thickBot="1" x14ac:dyDescent="0.25">
      <c r="A2" s="1" t="s">
        <v>28</v>
      </c>
    </row>
    <row r="3" spans="1:17" ht="17" thickTop="1" x14ac:dyDescent="0.2">
      <c r="A3" s="8"/>
      <c r="B3" s="8"/>
      <c r="C3" s="8"/>
      <c r="D3" s="13" t="s">
        <v>12</v>
      </c>
      <c r="E3" s="13"/>
      <c r="F3" s="13"/>
      <c r="G3" s="13"/>
      <c r="H3" s="13"/>
      <c r="I3" s="8"/>
      <c r="J3" s="8"/>
      <c r="K3" s="8"/>
      <c r="L3" s="8"/>
    </row>
    <row r="4" spans="1:17" s="1" customFormat="1" ht="55" customHeight="1" thickBot="1" x14ac:dyDescent="0.25">
      <c r="A4" s="9" t="s">
        <v>1</v>
      </c>
      <c r="B4" s="9" t="s">
        <v>8</v>
      </c>
      <c r="C4" s="11" t="s">
        <v>25</v>
      </c>
      <c r="D4" s="10" t="s">
        <v>9</v>
      </c>
      <c r="E4" s="10" t="s">
        <v>10</v>
      </c>
      <c r="F4" s="10" t="s">
        <v>11</v>
      </c>
      <c r="G4" s="10" t="s">
        <v>61</v>
      </c>
      <c r="H4" s="9" t="s">
        <v>13</v>
      </c>
      <c r="I4" s="9" t="s">
        <v>26</v>
      </c>
      <c r="J4" s="9" t="s">
        <v>15</v>
      </c>
      <c r="K4" s="9" t="s">
        <v>17</v>
      </c>
      <c r="L4" s="9" t="s">
        <v>27</v>
      </c>
      <c r="N4" s="1" t="s">
        <v>56</v>
      </c>
      <c r="O4" s="1" t="s">
        <v>56</v>
      </c>
      <c r="P4" s="1" t="s">
        <v>57</v>
      </c>
      <c r="Q4" s="1" t="s">
        <v>58</v>
      </c>
    </row>
    <row r="5" spans="1:17" ht="17" thickTop="1" x14ac:dyDescent="0.2">
      <c r="A5" t="s">
        <v>2</v>
      </c>
      <c r="B5">
        <v>-34.54</v>
      </c>
      <c r="C5">
        <v>2</v>
      </c>
      <c r="D5" s="3">
        <v>3.5000000000000003E-2</v>
      </c>
      <c r="E5" s="3">
        <v>2.8000000000000001E-2</v>
      </c>
      <c r="F5" s="3">
        <v>0</v>
      </c>
      <c r="G5" s="7">
        <v>0</v>
      </c>
      <c r="H5">
        <f>-2*(B5-C5)</f>
        <v>73.08</v>
      </c>
      <c r="I5">
        <f>H5-H$20</f>
        <v>33.73218</v>
      </c>
      <c r="J5">
        <f>EXP(-0.5*I5)</f>
        <v>4.7331490588498745E-8</v>
      </c>
      <c r="K5">
        <f>J5/J$20</f>
        <v>1.5662463155596895E-8</v>
      </c>
      <c r="L5" s="2">
        <f>K5*100</f>
        <v>1.5662463155596896E-6</v>
      </c>
      <c r="M5" t="s">
        <v>55</v>
      </c>
    </row>
    <row r="6" spans="1:17" x14ac:dyDescent="0.2">
      <c r="A6" t="s">
        <v>3</v>
      </c>
      <c r="B6">
        <v>-20.947558999999998</v>
      </c>
      <c r="C6">
        <v>3</v>
      </c>
      <c r="D6" s="3">
        <v>9.9999999999999998E-13</v>
      </c>
      <c r="E6" s="3">
        <v>9.9999999999999998E-13</v>
      </c>
      <c r="F6" s="3">
        <v>0.1142702</v>
      </c>
      <c r="G6" s="7">
        <v>0</v>
      </c>
      <c r="H6">
        <f t="shared" ref="H6:H18" si="0">-2*(B6-C6)</f>
        <v>47.895117999999997</v>
      </c>
      <c r="I6">
        <f>H6-H$20</f>
        <v>8.5472979999999978</v>
      </c>
      <c r="J6">
        <f>EXP(-0.5*I6)</f>
        <v>1.3930856598618969E-2</v>
      </c>
      <c r="K6">
        <f>J6/J$20</f>
        <v>4.6098596407777755E-3</v>
      </c>
      <c r="L6" s="2">
        <f t="shared" ref="L6:L18" si="1">K6*100</f>
        <v>0.46098596407777753</v>
      </c>
      <c r="M6" t="s">
        <v>55</v>
      </c>
    </row>
    <row r="7" spans="1:17" x14ac:dyDescent="0.2">
      <c r="A7" t="s">
        <v>4</v>
      </c>
      <c r="B7">
        <v>-33.151699999999998</v>
      </c>
      <c r="C7">
        <v>2</v>
      </c>
      <c r="D7" s="3">
        <v>4.4732859999999999E-2</v>
      </c>
      <c r="E7" s="3">
        <v>3.7435970000000001E-9</v>
      </c>
      <c r="F7" s="3">
        <v>0</v>
      </c>
      <c r="G7" s="7">
        <v>0</v>
      </c>
      <c r="H7">
        <f t="shared" si="0"/>
        <v>70.303399999999996</v>
      </c>
      <c r="I7">
        <f>H7-H$20</f>
        <v>30.955579999999998</v>
      </c>
      <c r="J7">
        <f t="shared" ref="J6:J18" si="2">EXP(-0.5*I7)</f>
        <v>1.897060629099175E-7</v>
      </c>
      <c r="K7">
        <f>J7/J$20</f>
        <v>6.2775631694175466E-8</v>
      </c>
      <c r="L7" s="2">
        <f t="shared" si="1"/>
        <v>6.277563169417547E-6</v>
      </c>
      <c r="M7" t="s">
        <v>55</v>
      </c>
    </row>
    <row r="8" spans="1:17" x14ac:dyDescent="0.2">
      <c r="A8" t="s">
        <v>5</v>
      </c>
      <c r="B8">
        <v>-21.085999999999999</v>
      </c>
      <c r="C8">
        <v>3</v>
      </c>
      <c r="D8" s="3">
        <v>9.9999999999999998E-13</v>
      </c>
      <c r="E8" s="3">
        <v>9.9999999999999998E-13</v>
      </c>
      <c r="F8" s="3">
        <v>0.1157</v>
      </c>
      <c r="G8" s="7">
        <v>0</v>
      </c>
      <c r="H8">
        <f t="shared" si="0"/>
        <v>48.171999999999997</v>
      </c>
      <c r="I8">
        <f>H8-H$20</f>
        <v>8.8241799999999984</v>
      </c>
      <c r="J8">
        <f t="shared" si="2"/>
        <v>1.2129800536237545E-2</v>
      </c>
      <c r="K8">
        <f>J8/J$20</f>
        <v>4.0138721942073081E-3</v>
      </c>
      <c r="L8" s="2">
        <f t="shared" si="1"/>
        <v>0.4013872194207308</v>
      </c>
      <c r="M8" t="s">
        <v>55</v>
      </c>
    </row>
    <row r="9" spans="1:17" x14ac:dyDescent="0.2">
      <c r="A9" t="s">
        <v>6</v>
      </c>
      <c r="B9">
        <v>-40.334609999999998</v>
      </c>
      <c r="C9">
        <v>2</v>
      </c>
      <c r="D9" s="3">
        <v>1.8688400000000001E-2</v>
      </c>
      <c r="E9" s="3">
        <v>0.30590990000000001</v>
      </c>
      <c r="F9" s="3">
        <v>0</v>
      </c>
      <c r="G9" s="7">
        <v>0</v>
      </c>
      <c r="H9">
        <f t="shared" si="0"/>
        <v>84.669219999999996</v>
      </c>
      <c r="I9">
        <f>H9-H$20</f>
        <v>45.321399999999997</v>
      </c>
      <c r="J9">
        <f t="shared" si="2"/>
        <v>1.4407314412508662E-10</v>
      </c>
      <c r="K9">
        <f>J9/J$20</f>
        <v>4.7675242919953497E-11</v>
      </c>
      <c r="L9" s="2">
        <f t="shared" si="1"/>
        <v>4.7675242919953499E-9</v>
      </c>
      <c r="M9" t="s">
        <v>55</v>
      </c>
    </row>
    <row r="10" spans="1:17" ht="17" thickBot="1" x14ac:dyDescent="0.25">
      <c r="A10" t="s">
        <v>7</v>
      </c>
      <c r="B10">
        <v>-21.55265</v>
      </c>
      <c r="C10">
        <v>3</v>
      </c>
      <c r="D10" s="3">
        <v>9.9999999999999995E-8</v>
      </c>
      <c r="E10" s="3">
        <v>9.9999999999999995E-8</v>
      </c>
      <c r="F10" s="3">
        <v>0.1081178</v>
      </c>
      <c r="G10" s="7">
        <v>0</v>
      </c>
      <c r="H10">
        <f t="shared" si="0"/>
        <v>49.1053</v>
      </c>
      <c r="I10">
        <f>H10-H$20</f>
        <v>9.757480000000001</v>
      </c>
      <c r="J10">
        <f t="shared" si="2"/>
        <v>7.6065922982956578E-3</v>
      </c>
      <c r="K10">
        <f>J10/J$20</f>
        <v>2.5170973939420498E-3</v>
      </c>
      <c r="L10" s="2">
        <f t="shared" si="1"/>
        <v>0.25170973939420499</v>
      </c>
      <c r="M10" t="s">
        <v>55</v>
      </c>
    </row>
    <row r="11" spans="1:17" ht="17" thickTop="1" x14ac:dyDescent="0.2">
      <c r="A11" t="s">
        <v>2</v>
      </c>
      <c r="B11" s="8">
        <v>-31.411989999999999</v>
      </c>
      <c r="C11" s="8">
        <v>2</v>
      </c>
      <c r="D11" s="8"/>
      <c r="E11" s="8"/>
      <c r="F11" s="8"/>
      <c r="G11" s="8"/>
      <c r="H11">
        <f>-2*(B11-C11)</f>
        <v>66.823980000000006</v>
      </c>
      <c r="I11" s="8">
        <f>H11-H$20</f>
        <v>27.476160000000007</v>
      </c>
      <c r="J11" s="8">
        <f t="shared" si="2"/>
        <v>1.0805071972338944E-6</v>
      </c>
      <c r="K11" s="8">
        <f>J11/J$20</f>
        <v>3.5755062761842153E-7</v>
      </c>
      <c r="L11" s="8">
        <f t="shared" si="1"/>
        <v>3.575506276184215E-5</v>
      </c>
      <c r="M11" t="s">
        <v>55</v>
      </c>
    </row>
    <row r="12" spans="1:17" x14ac:dyDescent="0.2">
      <c r="A12" t="s">
        <v>3</v>
      </c>
      <c r="B12">
        <v>-16.673909999999999</v>
      </c>
      <c r="C12" s="14">
        <v>3</v>
      </c>
      <c r="H12">
        <f t="shared" si="0"/>
        <v>39.347819999999999</v>
      </c>
      <c r="I12" s="14">
        <f>H12-H$20</f>
        <v>0</v>
      </c>
      <c r="J12" s="14">
        <f t="shared" si="2"/>
        <v>1</v>
      </c>
      <c r="K12" s="14">
        <f>J12/J$20</f>
        <v>0.33090999165369145</v>
      </c>
      <c r="L12" s="2">
        <f t="shared" si="1"/>
        <v>33.090999165369148</v>
      </c>
      <c r="M12" t="s">
        <v>55</v>
      </c>
    </row>
    <row r="13" spans="1:17" x14ac:dyDescent="0.2">
      <c r="A13" t="s">
        <v>4</v>
      </c>
      <c r="B13">
        <v>-29.063210000000002</v>
      </c>
      <c r="C13" s="14">
        <v>2</v>
      </c>
      <c r="H13">
        <f t="shared" si="0"/>
        <v>62.126420000000003</v>
      </c>
      <c r="I13" s="14">
        <f>H13-H$20</f>
        <v>22.778600000000004</v>
      </c>
      <c r="J13" s="14">
        <f t="shared" si="2"/>
        <v>1.1315919707889203E-5</v>
      </c>
      <c r="K13" s="14">
        <f>J13/J$20</f>
        <v>3.7445508960914587E-6</v>
      </c>
      <c r="L13" s="2">
        <f t="shared" si="1"/>
        <v>3.7445508960914589E-4</v>
      </c>
      <c r="M13" t="s">
        <v>55</v>
      </c>
    </row>
    <row r="14" spans="1:17" x14ac:dyDescent="0.2">
      <c r="A14" t="s">
        <v>5</v>
      </c>
      <c r="B14">
        <v>-16.880500000000001</v>
      </c>
      <c r="C14" s="14">
        <v>3</v>
      </c>
      <c r="H14">
        <f t="shared" si="0"/>
        <v>39.761000000000003</v>
      </c>
      <c r="I14" s="14">
        <f>H14-H$20</f>
        <v>0.4131800000000041</v>
      </c>
      <c r="J14" s="14">
        <f t="shared" si="2"/>
        <v>0.81335305638770583</v>
      </c>
      <c r="K14" s="14">
        <f>J14/J$20</f>
        <v>0.26914665310076019</v>
      </c>
      <c r="L14" s="2">
        <f t="shared" si="1"/>
        <v>26.914665310076018</v>
      </c>
      <c r="M14" t="s">
        <v>55</v>
      </c>
    </row>
    <row r="15" spans="1:17" x14ac:dyDescent="0.2">
      <c r="A15" t="s">
        <v>6</v>
      </c>
      <c r="B15">
        <v>-40.23236</v>
      </c>
      <c r="C15" s="14">
        <v>2</v>
      </c>
      <c r="H15">
        <f t="shared" si="0"/>
        <v>84.46472</v>
      </c>
      <c r="I15" s="14">
        <f>H15-H$20</f>
        <v>45.116900000000001</v>
      </c>
      <c r="J15" s="14">
        <f t="shared" si="2"/>
        <v>1.5958410956480034E-10</v>
      </c>
      <c r="K15" s="14">
        <f>J15/J$20</f>
        <v>5.2807976364149861E-11</v>
      </c>
      <c r="L15" s="2">
        <f t="shared" si="1"/>
        <v>5.2807976364149864E-9</v>
      </c>
      <c r="M15" t="s">
        <v>55</v>
      </c>
    </row>
    <row r="16" spans="1:17" x14ac:dyDescent="0.2">
      <c r="A16" t="s">
        <v>7</v>
      </c>
      <c r="B16">
        <v>-16.880510000000001</v>
      </c>
      <c r="C16" s="14">
        <v>3</v>
      </c>
      <c r="H16">
        <f t="shared" si="0"/>
        <v>39.761020000000002</v>
      </c>
      <c r="I16" s="14">
        <f>H16-H$20</f>
        <v>0.41320000000000334</v>
      </c>
      <c r="J16" s="14">
        <f t="shared" si="2"/>
        <v>0.8133449228978098</v>
      </c>
      <c r="K16" s="14">
        <f>J16/J$20</f>
        <v>0.26914396164768656</v>
      </c>
      <c r="L16" s="2">
        <f t="shared" si="1"/>
        <v>26.914396164768657</v>
      </c>
      <c r="M16" t="s">
        <v>55</v>
      </c>
    </row>
    <row r="17" spans="1:13" x14ac:dyDescent="0.2">
      <c r="A17" t="s">
        <v>60</v>
      </c>
      <c r="B17">
        <v>-31.46575</v>
      </c>
      <c r="C17" s="14">
        <v>3</v>
      </c>
      <c r="G17">
        <v>2.4</v>
      </c>
      <c r="H17">
        <f t="shared" si="0"/>
        <v>68.9315</v>
      </c>
      <c r="I17" s="14">
        <f>H17-H$20</f>
        <v>29.583680000000001</v>
      </c>
      <c r="J17" s="14">
        <f t="shared" si="2"/>
        <v>3.7669123137303536E-7</v>
      </c>
      <c r="K17" s="14">
        <f>J17/J$20</f>
        <v>1.2465089222966989E-7</v>
      </c>
      <c r="L17" s="2">
        <f t="shared" si="1"/>
        <v>1.2465089222966988E-5</v>
      </c>
      <c r="M17" t="s">
        <v>55</v>
      </c>
    </row>
    <row r="18" spans="1:13" x14ac:dyDescent="0.2">
      <c r="A18" t="s">
        <v>59</v>
      </c>
      <c r="B18">
        <v>-16.69115</v>
      </c>
      <c r="C18" s="14">
        <v>4</v>
      </c>
      <c r="G18">
        <v>2.8</v>
      </c>
      <c r="H18">
        <f t="shared" si="0"/>
        <v>41.382300000000001</v>
      </c>
      <c r="I18" s="14">
        <f>H18-H$20</f>
        <v>2.0344800000000021</v>
      </c>
      <c r="J18" s="14">
        <f t="shared" si="2"/>
        <v>0.36159155690639538</v>
      </c>
      <c r="K18" s="14">
        <f>J18/J$20</f>
        <v>0.1196542590779406</v>
      </c>
      <c r="L18" s="2">
        <f>K18*100</f>
        <v>11.96542590779406</v>
      </c>
      <c r="M18" t="s">
        <v>55</v>
      </c>
    </row>
    <row r="20" spans="1:13" x14ac:dyDescent="0.2">
      <c r="F20" t="s">
        <v>14</v>
      </c>
      <c r="H20">
        <f>MIN(H5:H18)</f>
        <v>39.347819999999999</v>
      </c>
      <c r="I20" t="s">
        <v>16</v>
      </c>
      <c r="J20">
        <f>SUM(J5:J18)</f>
        <v>3.0219697960844107</v>
      </c>
    </row>
  </sheetData>
  <mergeCells count="1">
    <mergeCell ref="D3:H3"/>
  </mergeCells>
  <pageMargins left="0.7" right="0.7" top="0.75" bottom="0.75" header="0.3" footer="0.3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blank</vt:lpstr>
      <vt:lpstr>formulas</vt:lpstr>
      <vt:lpstr>filled_in</vt:lpstr>
      <vt:lpstr>filled_in!Print_Area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Wallis Bland</dc:creator>
  <cp:lastModifiedBy>Nicholas Matzke</cp:lastModifiedBy>
  <dcterms:created xsi:type="dcterms:W3CDTF">2024-09-17T02:38:27Z</dcterms:created>
  <dcterms:modified xsi:type="dcterms:W3CDTF">2026-10-14T09:14:25Z</dcterms:modified>
</cp:coreProperties>
</file>