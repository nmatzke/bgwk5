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mat471/Downloads/"/>
    </mc:Choice>
  </mc:AlternateContent>
  <xr:revisionPtr revIDLastSave="0" documentId="13_ncr:1_{88269641-2322-FA4D-9C0D-81497472775A}" xr6:coauthVersionLast="36" xr6:coauthVersionMax="36" xr10:uidLastSave="{00000000-0000-0000-0000-000000000000}"/>
  <bookViews>
    <workbookView xWindow="4840" yWindow="2140" windowWidth="28040" windowHeight="17440" xr2:uid="{10AB51CC-0F3B-DA44-ABF2-71C32EFCB7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1" i="1" l="1"/>
  <c r="G92" i="1"/>
  <c r="G93" i="1"/>
  <c r="G90" i="1"/>
  <c r="E90" i="1"/>
  <c r="F113" i="1"/>
  <c r="G109" i="1" s="1"/>
  <c r="G110" i="1"/>
  <c r="F109" i="1"/>
  <c r="F110" i="1"/>
  <c r="F111" i="1"/>
  <c r="F108" i="1"/>
  <c r="E109" i="1"/>
  <c r="E110" i="1"/>
  <c r="E111" i="1"/>
  <c r="E108" i="1"/>
  <c r="D113" i="1"/>
  <c r="D109" i="1"/>
  <c r="D110" i="1"/>
  <c r="D111" i="1"/>
  <c r="D108" i="1"/>
  <c r="B109" i="1"/>
  <c r="C109" i="1"/>
  <c r="B110" i="1"/>
  <c r="C110" i="1"/>
  <c r="B111" i="1"/>
  <c r="C111" i="1"/>
  <c r="C108" i="1"/>
  <c r="B108" i="1"/>
  <c r="A109" i="1"/>
  <c r="A110" i="1"/>
  <c r="A111" i="1"/>
  <c r="A108" i="1"/>
  <c r="E91" i="1"/>
  <c r="E92" i="1"/>
  <c r="E93" i="1"/>
  <c r="D95" i="1"/>
  <c r="A90" i="1"/>
  <c r="A91" i="1"/>
  <c r="A92" i="1"/>
  <c r="A93" i="1"/>
  <c r="F38" i="1"/>
  <c r="J38" i="1" s="1"/>
  <c r="D39" i="1"/>
  <c r="B39" i="1"/>
  <c r="F39" i="1" s="1"/>
  <c r="F35" i="1"/>
  <c r="J35" i="1" s="1"/>
  <c r="D35" i="1"/>
  <c r="B35" i="1"/>
  <c r="F34" i="1"/>
  <c r="J34" i="1" s="1"/>
  <c r="C27" i="1"/>
  <c r="A28" i="1" s="1"/>
  <c r="B24" i="1"/>
  <c r="B29" i="1" s="1"/>
  <c r="C24" i="1"/>
  <c r="B47" i="1" s="1"/>
  <c r="D47" i="1" s="1"/>
  <c r="D24" i="1"/>
  <c r="B48" i="1" s="1"/>
  <c r="D48" i="1" s="1"/>
  <c r="E24" i="1"/>
  <c r="B49" i="1" s="1"/>
  <c r="D49" i="1" s="1"/>
  <c r="F24" i="1"/>
  <c r="A24" i="1"/>
  <c r="A29" i="1" s="1"/>
  <c r="H109" i="1" l="1"/>
  <c r="G108" i="1"/>
  <c r="G111" i="1"/>
  <c r="H110" i="1"/>
  <c r="H111" i="1"/>
  <c r="E29" i="1"/>
  <c r="B59" i="1"/>
  <c r="B69" i="1" s="1"/>
  <c r="B93" i="1" s="1"/>
  <c r="B58" i="1"/>
  <c r="B68" i="1" s="1"/>
  <c r="B92" i="1" s="1"/>
  <c r="B57" i="1"/>
  <c r="B67" i="1" s="1"/>
  <c r="B91" i="1" s="1"/>
  <c r="J39" i="1"/>
  <c r="B46" i="1"/>
  <c r="D29" i="1"/>
  <c r="C29" i="1"/>
  <c r="E28" i="1"/>
  <c r="D28" i="1"/>
  <c r="C28" i="1"/>
  <c r="B28" i="1"/>
  <c r="H108" i="1" l="1"/>
  <c r="D46" i="1"/>
  <c r="B56" i="1"/>
  <c r="B66" i="1" s="1"/>
  <c r="B90" i="1" s="1"/>
  <c r="D91" i="1"/>
  <c r="D92" i="1"/>
  <c r="D93" i="1"/>
  <c r="B71" i="1"/>
  <c r="F91" i="1" s="1"/>
  <c r="D51" i="1"/>
  <c r="F93" i="1" l="1"/>
  <c r="F92" i="1"/>
  <c r="D90" i="1"/>
  <c r="F90" i="1"/>
  <c r="F95" i="1" s="1"/>
  <c r="D58" i="1"/>
  <c r="D57" i="1"/>
  <c r="D59" i="1"/>
  <c r="D56" i="1"/>
  <c r="C69" i="1"/>
  <c r="D69" i="1" s="1"/>
  <c r="C68" i="1"/>
  <c r="D68" i="1" s="1"/>
  <c r="C66" i="1"/>
  <c r="D66" i="1" s="1"/>
  <c r="C67" i="1"/>
  <c r="D67" i="1" s="1"/>
  <c r="E47" i="1"/>
  <c r="F47" i="1" s="1"/>
  <c r="E49" i="1"/>
  <c r="F49" i="1" s="1"/>
  <c r="E48" i="1"/>
  <c r="F48" i="1" s="1"/>
  <c r="E46" i="1"/>
  <c r="F46" i="1" s="1"/>
  <c r="D61" i="1" l="1"/>
  <c r="D71" i="1"/>
  <c r="H91" i="1" s="1"/>
  <c r="E57" i="1" l="1"/>
  <c r="F57" i="1" s="1"/>
  <c r="E56" i="1"/>
  <c r="F56" i="1" s="1"/>
  <c r="E66" i="1"/>
  <c r="F66" i="1" s="1"/>
  <c r="H93" i="1"/>
  <c r="E58" i="1"/>
  <c r="F58" i="1" s="1"/>
  <c r="H92" i="1"/>
  <c r="E67" i="1"/>
  <c r="F67" i="1" s="1"/>
  <c r="E69" i="1"/>
  <c r="F69" i="1" s="1"/>
  <c r="H90" i="1"/>
  <c r="E59" i="1"/>
  <c r="F59" i="1" s="1"/>
  <c r="E68" i="1"/>
  <c r="F68" i="1" s="1"/>
</calcChain>
</file>

<file path=xl/sharedStrings.xml><?xml version="1.0" encoding="utf-8"?>
<sst xmlns="http://schemas.openxmlformats.org/spreadsheetml/2006/main" count="109" uniqueCount="68">
  <si>
    <t>Quick introduction to AIC</t>
  </si>
  <si>
    <t xml:space="preserve">AIC is surprisingly simple to use (the theory behind it is quite complex information theory, but we don't have to worry about that). </t>
  </si>
  <si>
    <t>However, there are a few confusing aspects that can distract students. Here is the short-short version.</t>
  </si>
  <si>
    <t>One way to statistically compare the fit of models to data is the likelihood.  Likelihood is just the probability of data, given a model (including specific parameter values).</t>
  </si>
  <si>
    <t>There are arguments about this in statistical philosophy, but one common way to fit a model to a dataset is to find the parameter values that maximize the likelihood, ie find the parameter values that confer the highest probability on the data.</t>
  </si>
  <si>
    <t>Because likelihoods are conditional probabilities, and the likelihood of a dataset is generated by multipling many many small probabilities together, likelihoods can be very small numbers (e.g. 8.623e-65, which means 8.6235x10^-65)</t>
  </si>
  <si>
    <t>Computers have limited precision to contain small numbers, so it is common to use the natural logarithm of the likelihood instead.  This is abbreviated lnL or logL.</t>
  </si>
  <si>
    <t>(It turns out that the log of the likelihood is also mathematically and theoretically convenient in a lot of mathematical statistics, which involves a lot of calculus, and derivatives etc. are often easier in log space. Don't worry about this.)</t>
  </si>
  <si>
    <t>Summary: Find the parameters that maximizing the log-likelihood also maximizes the raw likelihood.</t>
  </si>
  <si>
    <t>Logs and exponents</t>
  </si>
  <si>
    <t>Just so you get a sense of how logs and exponents work:</t>
  </si>
  <si>
    <t>Raw likelihood (i.e. the conditional probability of some dataset, P(data|model+parameters))</t>
  </si>
  <si>
    <t>Log-likelihoods (always using the natural log, LN, rather than LOG.  (Note: In R, log() gives the natural log, and log10 gives the powers-of-10 log.)</t>
  </si>
  <si>
    <t>&lt;- Note that the LN of 0.0 is -Infinity</t>
  </si>
  <si>
    <t>Convert log-likelihoods back to likelihoods by taking e^lnL, where e is Euler's number.  The exp() function also does this.</t>
  </si>
  <si>
    <t>Euler's number</t>
  </si>
  <si>
    <t xml:space="preserve">=e = </t>
  </si>
  <si>
    <r>
      <rPr>
        <b/>
        <sz val="12"/>
        <color theme="1"/>
        <rFont val="Calibri"/>
        <family val="2"/>
        <scheme val="minor"/>
      </rPr>
      <t>Relative likelihood:</t>
    </r>
    <r>
      <rPr>
        <sz val="12"/>
        <color theme="1"/>
        <rFont val="Calibri"/>
        <family val="2"/>
        <scheme val="minor"/>
      </rPr>
      <t xml:space="preserve"> It turns out that in all but the simplest or most artificial situations, we don't know how close our best model is to the truth -- because we don't know what the actual exact true model is out there in reality. </t>
    </r>
  </si>
  <si>
    <r>
      <t xml:space="preserve">However, the relative likelihood is </t>
    </r>
    <r>
      <rPr>
        <i/>
        <sz val="12"/>
        <color theme="1"/>
        <rFont val="Calibri"/>
        <family val="2"/>
        <scheme val="minor"/>
      </rPr>
      <t>still</t>
    </r>
    <r>
      <rPr>
        <sz val="12"/>
        <color theme="1"/>
        <rFont val="Calibri"/>
        <family val="2"/>
        <scheme val="minor"/>
      </rPr>
      <t xml:space="preserve"> useful, because at least we can say one model is fitting the data better than another model.</t>
    </r>
  </si>
  <si>
    <t>The relative likelihood is just the likelihood of a model / sum of the likelihoods of all the models:</t>
  </si>
  <si>
    <t>Raw likelihood</t>
  </si>
  <si>
    <t>Model</t>
  </si>
  <si>
    <t>M1</t>
  </si>
  <si>
    <t>M2</t>
  </si>
  <si>
    <t>M3</t>
  </si>
  <si>
    <t>M4</t>
  </si>
  <si>
    <t>lnL</t>
  </si>
  <si>
    <t>sum of rel. likes:</t>
  </si>
  <si>
    <t>Proportions of the total likelihood</t>
  </si>
  <si>
    <r>
      <t xml:space="preserve">Note that all we actually need to calculate proportions of the total likelihood is the </t>
    </r>
    <r>
      <rPr>
        <i/>
        <sz val="12"/>
        <color theme="1"/>
        <rFont val="Calibri"/>
        <family val="2"/>
        <scheme val="minor"/>
      </rPr>
      <t xml:space="preserve">relative </t>
    </r>
    <r>
      <rPr>
        <sz val="12"/>
        <color theme="1"/>
        <rFont val="Calibri"/>
        <family val="2"/>
        <scheme val="minor"/>
      </rPr>
      <t>likelihoods. For example, if we divide all the likelihoods by 0.5 (the best likelihood), the proportions stay the same:</t>
    </r>
  </si>
  <si>
    <t>Note that multiplication and division in "raw likelihood" space, become addition and subtraction in log-likelihood space:</t>
  </si>
  <si>
    <t>Raw likelihoods:</t>
  </si>
  <si>
    <t>times</t>
  </si>
  <si>
    <t>equals</t>
  </si>
  <si>
    <t>…which in log-likelihood is:</t>
  </si>
  <si>
    <t>Log likelihoods:</t>
  </si>
  <si>
    <t>plus</t>
  </si>
  <si>
    <t>…which in raw likelihood is:</t>
  </si>
  <si>
    <t>Multiplication equals addition in logspace:</t>
  </si>
  <si>
    <t>Division equals subtraction in logspace:</t>
  </si>
  <si>
    <t>divided by</t>
  </si>
  <si>
    <t>minus</t>
  </si>
  <si>
    <t>Because division in raw likelihood equals subtraction in log-likelihood, we can do the same calculation another way:</t>
  </si>
  <si>
    <t>delta lnL (= the difference in log-likelihood from the best model)</t>
  </si>
  <si>
    <t>Best lnL:</t>
  </si>
  <si>
    <t>Model weights</t>
  </si>
  <si>
    <t>it turns out that under certain assumptions, for large datasets, adding a parameter (adding a dimension) to a model can be expected to improve a model by approximately 1.0 units of log-likelihood, just by chance.</t>
  </si>
  <si>
    <t>In other words, adding non-explanatory parameters to a model will on average improve the log-likelihood just by chance, not because the parameter is actually improving the explanation.</t>
  </si>
  <si>
    <t>Therefore, it is reasonable to subtract a PENALTY from the log-likelihood, penalizing models additional free parameters.</t>
  </si>
  <si>
    <t>This is a version of "penalized likelihood".</t>
  </si>
  <si>
    <r>
      <rPr>
        <b/>
        <sz val="12"/>
        <color theme="1"/>
        <rFont val="Calibri"/>
        <family val="2"/>
        <scheme val="minor"/>
      </rPr>
      <t>Akaike Information Criterion (AIC)</t>
    </r>
    <r>
      <rPr>
        <sz val="12"/>
        <color theme="1"/>
        <rFont val="Calibri"/>
        <family val="2"/>
        <scheme val="minor"/>
      </rPr>
      <t>. For complex reasons -- information theory involving a deep connection between the dimensionality of a model (the degrees of freedom, i.e. the number of different parameters/numbers a model can vary in),</t>
    </r>
  </si>
  <si>
    <t>Raw relative likelihood</t>
  </si>
  <si>
    <t>Proportions of the total relative likelihood</t>
  </si>
  <si>
    <t>(free parameters are parameters that are estimated during the maximum likelihood inference; "fixed" parameters are fixed and unchanging throughout the whole analysis, either by the researcher or the researcher's assumed model)</t>
  </si>
  <si>
    <r>
      <t>The AIC is basically just therefore:</t>
    </r>
    <r>
      <rPr>
        <b/>
        <sz val="12"/>
        <color theme="1"/>
        <rFont val="Calibri"/>
        <family val="2"/>
        <scheme val="minor"/>
      </rPr>
      <t xml:space="preserve"> lnL - number of free parameters</t>
    </r>
  </si>
  <si>
    <r>
      <t xml:space="preserve">The AIC thus allows a </t>
    </r>
    <r>
      <rPr>
        <i/>
        <sz val="12"/>
        <color theme="1"/>
        <rFont val="Calibri"/>
        <family val="2"/>
        <scheme val="minor"/>
      </rPr>
      <t>trade-off between likelihood and model complexity.  This should avoid the problem of "the more complex model always does better."</t>
    </r>
  </si>
  <si>
    <r>
      <t xml:space="preserve">This is a mathematical version of the </t>
    </r>
    <r>
      <rPr>
        <b/>
        <sz val="12"/>
        <color theme="1"/>
        <rFont val="Calibri"/>
        <family val="2"/>
        <scheme val="minor"/>
      </rPr>
      <t>Parsimony Principle, or Ockham's Razor: All things being equal, we should favor the simpler explanation</t>
    </r>
  </si>
  <si>
    <t>We can construct a model weights table in the same way, using the penalized likelihood:</t>
  </si>
  <si>
    <t>lnL-k</t>
  </si>
  <si>
    <t>k (number of free parameters)
(I made these up for this example)</t>
  </si>
  <si>
    <t>Best lnL-k:</t>
  </si>
  <si>
    <t>You can see that the penalty matters!  M2 is now the better model, according to the model weights.</t>
  </si>
  <si>
    <t>Now, the tricky bit.  For fairly arbitrary reasons, AIC is defined as -2(lnL-number of free parameters), instead of just (lnL-number of free parameters).</t>
  </si>
  <si>
    <t>(the reasons have to do with the similarity to the deviance, a test statistic in the Likelihood Ratio Test. The deviance is 2*(difference in lnL) between a pair of nested models. Don't worry about this.</t>
  </si>
  <si>
    <t xml:space="preserve">The "-" in the AIC equation turns a (typically negative) penalized log-likelihood into a positive number, interpretable as a "relative distance from the truth".  </t>
  </si>
  <si>
    <t>But, the modification to the math is trivial.  We put a "-2*" into the "lnL-k" column, and then we undo it by putting a "-0.5*" into the raw relative likelihood column:</t>
  </si>
  <si>
    <t>Best AIC:</t>
  </si>
  <si>
    <t>And that's AIC!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</si>
</sst>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1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0811-451E-1A42-A94E-9AEEA54A2FFA}">
  <dimension ref="A1:J115"/>
  <sheetViews>
    <sheetView tabSelected="1" topLeftCell="A89" workbookViewId="0">
      <selection activeCell="A115" sqref="A115"/>
    </sheetView>
  </sheetViews>
  <sheetFormatPr baseColWidth="10" defaultRowHeight="16" x14ac:dyDescent="0.2"/>
  <cols>
    <col min="1" max="1" width="15.6640625" customWidth="1"/>
    <col min="2" max="2" width="16.1640625" customWidth="1"/>
    <col min="3" max="3" width="16.5" customWidth="1"/>
    <col min="5" max="5" width="16" customWidth="1"/>
    <col min="6" max="6" width="11.1640625" bestFit="1" customWidth="1"/>
  </cols>
  <sheetData>
    <row r="1" spans="1:1" x14ac:dyDescent="0.2">
      <c r="A1" s="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8" spans="1:1" x14ac:dyDescent="0.2">
      <c r="A8" t="s">
        <v>4</v>
      </c>
    </row>
    <row r="10" spans="1:1" x14ac:dyDescent="0.2">
      <c r="A10" t="s">
        <v>5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5" spans="1:1" x14ac:dyDescent="0.2">
      <c r="A15" t="s">
        <v>9</v>
      </c>
    </row>
    <row r="17" spans="1:7" x14ac:dyDescent="0.2">
      <c r="A17" t="s">
        <v>10</v>
      </c>
    </row>
    <row r="19" spans="1:7" x14ac:dyDescent="0.2">
      <c r="A19" t="s">
        <v>11</v>
      </c>
    </row>
    <row r="20" spans="1:7" x14ac:dyDescent="0.2">
      <c r="A20">
        <v>1</v>
      </c>
      <c r="B20">
        <v>0.5</v>
      </c>
      <c r="C20">
        <v>0.6</v>
      </c>
      <c r="D20" s="8">
        <v>0.01</v>
      </c>
      <c r="E20" s="2">
        <v>1.2299999999999999E-10</v>
      </c>
      <c r="F20">
        <v>0</v>
      </c>
    </row>
    <row r="23" spans="1:7" x14ac:dyDescent="0.2">
      <c r="A23" t="s">
        <v>12</v>
      </c>
    </row>
    <row r="24" spans="1:7" x14ac:dyDescent="0.2">
      <c r="A24">
        <f>LN(A20)</f>
        <v>0</v>
      </c>
      <c r="B24">
        <f t="shared" ref="B24:F24" si="0">LN(B20)</f>
        <v>-0.69314718055994529</v>
      </c>
      <c r="C24">
        <f t="shared" si="0"/>
        <v>-0.51082562376599072</v>
      </c>
      <c r="D24">
        <f t="shared" si="0"/>
        <v>-4.6051701859880909</v>
      </c>
      <c r="E24">
        <f t="shared" si="0"/>
        <v>-22.818836760556131</v>
      </c>
      <c r="F24" t="e">
        <f t="shared" si="0"/>
        <v>#NUM!</v>
      </c>
      <c r="G24" s="3" t="s">
        <v>13</v>
      </c>
    </row>
    <row r="26" spans="1:7" x14ac:dyDescent="0.2">
      <c r="A26" t="s">
        <v>14</v>
      </c>
    </row>
    <row r="27" spans="1:7" x14ac:dyDescent="0.2">
      <c r="A27" t="s">
        <v>15</v>
      </c>
      <c r="B27" s="3" t="s">
        <v>16</v>
      </c>
      <c r="C27">
        <f>EXP(1)</f>
        <v>2.7182818284590451</v>
      </c>
    </row>
    <row r="28" spans="1:7" x14ac:dyDescent="0.2">
      <c r="A28">
        <f>$C27^A24</f>
        <v>1</v>
      </c>
      <c r="B28">
        <f>$C27^B24</f>
        <v>0.5</v>
      </c>
      <c r="C28">
        <f>$C27^C24</f>
        <v>0.6</v>
      </c>
      <c r="D28">
        <f>$C27^D24</f>
        <v>1.0000000000000004E-2</v>
      </c>
      <c r="E28">
        <f>$C27^E24</f>
        <v>1.2299999999999996E-10</v>
      </c>
      <c r="F28">
        <v>0</v>
      </c>
    </row>
    <row r="29" spans="1:7" x14ac:dyDescent="0.2">
      <c r="A29">
        <f>EXP(A24)</f>
        <v>1</v>
      </c>
      <c r="B29">
        <f t="shared" ref="B29:E29" si="1">EXP(B24)</f>
        <v>0.5</v>
      </c>
      <c r="C29">
        <f t="shared" si="1"/>
        <v>0.6</v>
      </c>
      <c r="D29">
        <f t="shared" si="1"/>
        <v>1.0000000000000004E-2</v>
      </c>
      <c r="E29">
        <f t="shared" si="1"/>
        <v>1.2299999999999996E-10</v>
      </c>
      <c r="F29">
        <v>0</v>
      </c>
    </row>
    <row r="31" spans="1:7" x14ac:dyDescent="0.2">
      <c r="A31" t="s">
        <v>30</v>
      </c>
    </row>
    <row r="33" spans="1:10" x14ac:dyDescent="0.2">
      <c r="A33" s="1" t="s">
        <v>38</v>
      </c>
    </row>
    <row r="34" spans="1:10" x14ac:dyDescent="0.2">
      <c r="A34" t="s">
        <v>31</v>
      </c>
      <c r="B34">
        <v>0.5</v>
      </c>
      <c r="C34" t="s">
        <v>32</v>
      </c>
      <c r="D34">
        <v>0.1</v>
      </c>
      <c r="E34" t="s">
        <v>33</v>
      </c>
      <c r="F34">
        <f>B34*D34</f>
        <v>0.05</v>
      </c>
      <c r="G34" s="4" t="s">
        <v>34</v>
      </c>
      <c r="J34">
        <f>LN(F34)</f>
        <v>-2.9957322735539909</v>
      </c>
    </row>
    <row r="35" spans="1:10" x14ac:dyDescent="0.2">
      <c r="A35" t="s">
        <v>35</v>
      </c>
      <c r="B35">
        <f>LN(B34)</f>
        <v>-0.69314718055994529</v>
      </c>
      <c r="C35" t="s">
        <v>36</v>
      </c>
      <c r="D35">
        <f>LN(D34)</f>
        <v>-2.3025850929940455</v>
      </c>
      <c r="E35" t="s">
        <v>33</v>
      </c>
      <c r="F35">
        <f>B35+D35</f>
        <v>-2.9957322735539909</v>
      </c>
      <c r="G35" s="4" t="s">
        <v>37</v>
      </c>
      <c r="J35">
        <f>EXP(F35)</f>
        <v>5.000000000000001E-2</v>
      </c>
    </row>
    <row r="36" spans="1:10" x14ac:dyDescent="0.2">
      <c r="G36" s="4"/>
    </row>
    <row r="37" spans="1:10" x14ac:dyDescent="0.2">
      <c r="A37" s="1" t="s">
        <v>39</v>
      </c>
      <c r="G37" s="4"/>
    </row>
    <row r="38" spans="1:10" x14ac:dyDescent="0.2">
      <c r="A38" t="s">
        <v>31</v>
      </c>
      <c r="B38">
        <v>0.5</v>
      </c>
      <c r="C38" t="s">
        <v>40</v>
      </c>
      <c r="D38">
        <v>0.1</v>
      </c>
      <c r="E38" t="s">
        <v>33</v>
      </c>
      <c r="F38">
        <f>B38/D38</f>
        <v>5</v>
      </c>
      <c r="G38" s="4" t="s">
        <v>34</v>
      </c>
      <c r="J38">
        <f>LN(F38)</f>
        <v>1.6094379124341003</v>
      </c>
    </row>
    <row r="39" spans="1:10" x14ac:dyDescent="0.2">
      <c r="A39" t="s">
        <v>35</v>
      </c>
      <c r="B39">
        <f>LN(B38)</f>
        <v>-0.69314718055994529</v>
      </c>
      <c r="C39" t="s">
        <v>41</v>
      </c>
      <c r="D39">
        <f>LN(D38)</f>
        <v>-2.3025850929940455</v>
      </c>
      <c r="E39" t="s">
        <v>33</v>
      </c>
      <c r="F39">
        <f>B39-D39</f>
        <v>1.6094379124341001</v>
      </c>
      <c r="G39" s="4" t="s">
        <v>37</v>
      </c>
      <c r="J39">
        <f>EXP(F39)</f>
        <v>4.9999999999999982</v>
      </c>
    </row>
    <row r="41" spans="1:10" x14ac:dyDescent="0.2">
      <c r="A41" t="s">
        <v>17</v>
      </c>
    </row>
    <row r="42" spans="1:10" x14ac:dyDescent="0.2">
      <c r="A42" t="s">
        <v>18</v>
      </c>
    </row>
    <row r="43" spans="1:10" x14ac:dyDescent="0.2">
      <c r="A43" t="s">
        <v>19</v>
      </c>
    </row>
    <row r="45" spans="1:10" s="6" customFormat="1" ht="51" x14ac:dyDescent="0.2">
      <c r="A45" s="5" t="s">
        <v>21</v>
      </c>
      <c r="B45" s="5" t="s">
        <v>26</v>
      </c>
      <c r="D45" s="5" t="s">
        <v>20</v>
      </c>
      <c r="E45" s="5" t="s">
        <v>28</v>
      </c>
      <c r="F45" s="5" t="s">
        <v>45</v>
      </c>
    </row>
    <row r="46" spans="1:10" x14ac:dyDescent="0.2">
      <c r="A46" t="s">
        <v>22</v>
      </c>
      <c r="B46">
        <f>B24</f>
        <v>-0.69314718055994529</v>
      </c>
      <c r="D46">
        <f>EXP(B46)</f>
        <v>0.5</v>
      </c>
      <c r="E46">
        <f>D46/D$51</f>
        <v>0.45045045040053561</v>
      </c>
      <c r="F46" s="7">
        <f>E46</f>
        <v>0.45045045040053561</v>
      </c>
    </row>
    <row r="47" spans="1:10" x14ac:dyDescent="0.2">
      <c r="A47" t="s">
        <v>23</v>
      </c>
      <c r="B47">
        <f>C24</f>
        <v>-0.51082562376599072</v>
      </c>
      <c r="D47">
        <f>EXP(B47)</f>
        <v>0.6</v>
      </c>
      <c r="E47">
        <f>D47/D$51</f>
        <v>0.54054054048064271</v>
      </c>
      <c r="F47" s="7">
        <f t="shared" ref="F47:F49" si="2">E47</f>
        <v>0.54054054048064271</v>
      </c>
    </row>
    <row r="48" spans="1:10" x14ac:dyDescent="0.2">
      <c r="A48" t="s">
        <v>24</v>
      </c>
      <c r="B48">
        <f>D24</f>
        <v>-4.6051701859880909</v>
      </c>
      <c r="D48">
        <f>EXP(B48)</f>
        <v>1.0000000000000004E-2</v>
      </c>
      <c r="E48">
        <f>D48/D$51</f>
        <v>9.0090090080107155E-3</v>
      </c>
      <c r="F48" s="7">
        <f t="shared" si="2"/>
        <v>9.0090090080107155E-3</v>
      </c>
    </row>
    <row r="49" spans="1:6" x14ac:dyDescent="0.2">
      <c r="A49" t="s">
        <v>25</v>
      </c>
      <c r="B49">
        <f>E24</f>
        <v>-22.818836760556131</v>
      </c>
      <c r="D49">
        <f>EXP(B49)</f>
        <v>1.2299999999999996E-10</v>
      </c>
      <c r="E49">
        <f>D49/D$51</f>
        <v>1.1081081079853172E-10</v>
      </c>
      <c r="F49" s="7">
        <f t="shared" si="2"/>
        <v>1.1081081079853172E-10</v>
      </c>
    </row>
    <row r="51" spans="1:6" x14ac:dyDescent="0.2">
      <c r="C51" t="s">
        <v>27</v>
      </c>
      <c r="D51">
        <f>SUM(D46:D49)</f>
        <v>1.1100000001230002</v>
      </c>
    </row>
    <row r="53" spans="1:6" x14ac:dyDescent="0.2">
      <c r="A53" t="s">
        <v>29</v>
      </c>
    </row>
    <row r="55" spans="1:6" s="6" customFormat="1" ht="51" x14ac:dyDescent="0.2">
      <c r="A55" s="5" t="s">
        <v>21</v>
      </c>
      <c r="B55" s="5" t="s">
        <v>26</v>
      </c>
      <c r="D55" s="5" t="s">
        <v>20</v>
      </c>
      <c r="E55" s="5" t="s">
        <v>28</v>
      </c>
      <c r="F55" s="5" t="s">
        <v>45</v>
      </c>
    </row>
    <row r="56" spans="1:6" x14ac:dyDescent="0.2">
      <c r="A56" t="s">
        <v>22</v>
      </c>
      <c r="B56">
        <f>B46</f>
        <v>-0.69314718055994529</v>
      </c>
      <c r="D56">
        <f>D46/MAX(D$46:D$49)</f>
        <v>0.83333333333333337</v>
      </c>
      <c r="E56">
        <f>D56/D$61</f>
        <v>0.45045045040053566</v>
      </c>
      <c r="F56" s="7">
        <f>E56</f>
        <v>0.45045045040053566</v>
      </c>
    </row>
    <row r="57" spans="1:6" x14ac:dyDescent="0.2">
      <c r="A57" t="s">
        <v>23</v>
      </c>
      <c r="B57">
        <f t="shared" ref="B57:B59" si="3">B47</f>
        <v>-0.51082562376599072</v>
      </c>
      <c r="D57">
        <f>D47/MAX(D$46:D$49)</f>
        <v>1</v>
      </c>
      <c r="E57">
        <f>D57/D$61</f>
        <v>0.54054054048064282</v>
      </c>
      <c r="F57" s="7">
        <f t="shared" ref="F57:F59" si="4">E57</f>
        <v>0.54054054048064282</v>
      </c>
    </row>
    <row r="58" spans="1:6" x14ac:dyDescent="0.2">
      <c r="A58" t="s">
        <v>24</v>
      </c>
      <c r="B58">
        <f t="shared" si="3"/>
        <v>-4.6051701859880909</v>
      </c>
      <c r="D58">
        <f>D48/MAX(D$46:D$49)</f>
        <v>1.6666666666666673E-2</v>
      </c>
      <c r="E58">
        <f>D58/D$61</f>
        <v>9.0090090080107172E-3</v>
      </c>
      <c r="F58" s="7">
        <f t="shared" si="4"/>
        <v>9.0090090080107172E-3</v>
      </c>
    </row>
    <row r="59" spans="1:6" x14ac:dyDescent="0.2">
      <c r="A59" t="s">
        <v>25</v>
      </c>
      <c r="B59">
        <f t="shared" si="3"/>
        <v>-22.818836760556131</v>
      </c>
      <c r="D59">
        <f>D49/MAX(D$46:D$49)</f>
        <v>2.0499999999999994E-10</v>
      </c>
      <c r="E59">
        <f>D59/D$61</f>
        <v>1.1081081079853173E-10</v>
      </c>
      <c r="F59" s="7">
        <f t="shared" si="4"/>
        <v>1.1081081079853173E-10</v>
      </c>
    </row>
    <row r="61" spans="1:6" x14ac:dyDescent="0.2">
      <c r="C61" t="s">
        <v>27</v>
      </c>
      <c r="D61">
        <f>SUM(D56:D59)</f>
        <v>1.8500000002050001</v>
      </c>
    </row>
    <row r="63" spans="1:6" x14ac:dyDescent="0.2">
      <c r="A63" t="s">
        <v>42</v>
      </c>
    </row>
    <row r="65" spans="1:6" s="6" customFormat="1" ht="68" x14ac:dyDescent="0.2">
      <c r="A65" s="5" t="s">
        <v>21</v>
      </c>
      <c r="B65" s="5" t="s">
        <v>26</v>
      </c>
      <c r="C65" s="5" t="s">
        <v>43</v>
      </c>
      <c r="D65" s="5" t="s">
        <v>51</v>
      </c>
      <c r="E65" s="5" t="s">
        <v>52</v>
      </c>
      <c r="F65" s="5" t="s">
        <v>45</v>
      </c>
    </row>
    <row r="66" spans="1:6" x14ac:dyDescent="0.2">
      <c r="A66" t="s">
        <v>22</v>
      </c>
      <c r="B66">
        <f>B56</f>
        <v>-0.69314718055994529</v>
      </c>
      <c r="C66">
        <f>B66-B$71</f>
        <v>-0.18232155679395456</v>
      </c>
      <c r="D66">
        <f>EXP(C66)</f>
        <v>0.83333333333333337</v>
      </c>
      <c r="E66">
        <f>D66/D$71</f>
        <v>0.45045045040053566</v>
      </c>
      <c r="F66" s="7">
        <f>E66</f>
        <v>0.45045045040053566</v>
      </c>
    </row>
    <row r="67" spans="1:6" x14ac:dyDescent="0.2">
      <c r="A67" t="s">
        <v>23</v>
      </c>
      <c r="B67">
        <f t="shared" ref="B67:B69" si="5">B57</f>
        <v>-0.51082562376599072</v>
      </c>
      <c r="C67">
        <f t="shared" ref="C67:C69" si="6">B67-B$71</f>
        <v>0</v>
      </c>
      <c r="D67">
        <f t="shared" ref="D67:D69" si="7">EXP(C67)</f>
        <v>1</v>
      </c>
      <c r="E67">
        <f t="shared" ref="E67:E69" si="8">D67/D$71</f>
        <v>0.54054054048064282</v>
      </c>
      <c r="F67" s="7">
        <f t="shared" ref="F67:F69" si="9">E67</f>
        <v>0.54054054048064282</v>
      </c>
    </row>
    <row r="68" spans="1:6" x14ac:dyDescent="0.2">
      <c r="A68" t="s">
        <v>24</v>
      </c>
      <c r="B68">
        <f t="shared" si="5"/>
        <v>-4.6051701859880909</v>
      </c>
      <c r="C68">
        <f t="shared" si="6"/>
        <v>-4.0943445622221004</v>
      </c>
      <c r="D68">
        <f t="shared" si="7"/>
        <v>1.666666666666667E-2</v>
      </c>
      <c r="E68">
        <f t="shared" si="8"/>
        <v>9.0090090080107155E-3</v>
      </c>
      <c r="F68" s="7">
        <f t="shared" si="9"/>
        <v>9.0090090080107155E-3</v>
      </c>
    </row>
    <row r="69" spans="1:6" x14ac:dyDescent="0.2">
      <c r="A69" t="s">
        <v>25</v>
      </c>
      <c r="B69">
        <f t="shared" si="5"/>
        <v>-22.818836760556131</v>
      </c>
      <c r="C69">
        <f t="shared" si="6"/>
        <v>-22.308011136790139</v>
      </c>
      <c r="D69">
        <f t="shared" si="7"/>
        <v>2.0500000000000025E-10</v>
      </c>
      <c r="E69">
        <f t="shared" si="8"/>
        <v>1.108108107985319E-10</v>
      </c>
      <c r="F69" s="7">
        <f t="shared" si="9"/>
        <v>1.108108107985319E-10</v>
      </c>
    </row>
    <row r="70" spans="1:6" x14ac:dyDescent="0.2">
      <c r="B70" t="s">
        <v>44</v>
      </c>
      <c r="D70" t="s">
        <v>27</v>
      </c>
    </row>
    <row r="71" spans="1:6" x14ac:dyDescent="0.2">
      <c r="B71">
        <f>MAX(B66:B69)</f>
        <v>-0.51082562376599072</v>
      </c>
      <c r="D71">
        <f>SUM(D66:D69)</f>
        <v>1.8500000002050001</v>
      </c>
    </row>
    <row r="73" spans="1:6" x14ac:dyDescent="0.2">
      <c r="A73" t="s">
        <v>50</v>
      </c>
    </row>
    <row r="74" spans="1:6" x14ac:dyDescent="0.2">
      <c r="A74" t="s">
        <v>46</v>
      </c>
    </row>
    <row r="76" spans="1:6" x14ac:dyDescent="0.2">
      <c r="A76" t="s">
        <v>47</v>
      </c>
    </row>
    <row r="78" spans="1:6" x14ac:dyDescent="0.2">
      <c r="A78" t="s">
        <v>48</v>
      </c>
    </row>
    <row r="79" spans="1:6" x14ac:dyDescent="0.2">
      <c r="A79" t="s">
        <v>49</v>
      </c>
    </row>
    <row r="81" spans="1:8" x14ac:dyDescent="0.2">
      <c r="A81" t="s">
        <v>54</v>
      </c>
    </row>
    <row r="82" spans="1:8" x14ac:dyDescent="0.2">
      <c r="A82" t="s">
        <v>53</v>
      </c>
    </row>
    <row r="84" spans="1:8" x14ac:dyDescent="0.2">
      <c r="A84" t="s">
        <v>55</v>
      </c>
    </row>
    <row r="85" spans="1:8" x14ac:dyDescent="0.2">
      <c r="A85" t="s">
        <v>56</v>
      </c>
    </row>
    <row r="87" spans="1:8" x14ac:dyDescent="0.2">
      <c r="A87" t="s">
        <v>57</v>
      </c>
    </row>
    <row r="89" spans="1:8" ht="136" x14ac:dyDescent="0.2">
      <c r="A89" s="5" t="s">
        <v>21</v>
      </c>
      <c r="B89" s="5" t="s">
        <v>26</v>
      </c>
      <c r="C89" s="5" t="s">
        <v>59</v>
      </c>
      <c r="D89" s="5" t="s">
        <v>58</v>
      </c>
      <c r="E89" s="5" t="s">
        <v>43</v>
      </c>
      <c r="F89" s="5" t="s">
        <v>51</v>
      </c>
      <c r="G89" s="5" t="s">
        <v>52</v>
      </c>
      <c r="H89" s="5" t="s">
        <v>45</v>
      </c>
    </row>
    <row r="90" spans="1:8" x14ac:dyDescent="0.2">
      <c r="A90" t="str">
        <f t="shared" ref="A90:H90" si="10">A66</f>
        <v>M1</v>
      </c>
      <c r="B90">
        <f>B66</f>
        <v>-0.69314718055994529</v>
      </c>
      <c r="C90">
        <v>1</v>
      </c>
      <c r="D90">
        <f>B90-C90</f>
        <v>-1.6931471805599454</v>
      </c>
      <c r="E90">
        <f>D90-D$95</f>
        <v>0</v>
      </c>
      <c r="F90">
        <f>EXP(E90)</f>
        <v>1</v>
      </c>
      <c r="G90">
        <f>F90/F$95</f>
        <v>0.69022023986354719</v>
      </c>
      <c r="H90" s="7">
        <f>G90</f>
        <v>0.69022023986354719</v>
      </c>
    </row>
    <row r="91" spans="1:8" x14ac:dyDescent="0.2">
      <c r="A91" t="str">
        <f t="shared" ref="A91:H91" si="11">A67</f>
        <v>M2</v>
      </c>
      <c r="B91">
        <f t="shared" si="11"/>
        <v>-0.51082562376599072</v>
      </c>
      <c r="C91">
        <v>2</v>
      </c>
      <c r="D91">
        <f t="shared" ref="D91:D93" si="12">B91-C91</f>
        <v>-2.5108256237659905</v>
      </c>
      <c r="E91">
        <f t="shared" ref="E91:E93" si="13">D91-D$95</f>
        <v>-0.8176784432060451</v>
      </c>
      <c r="F91">
        <f t="shared" ref="F91:F93" si="14">EXP(E91)</f>
        <v>0.4414553294057309</v>
      </c>
      <c r="G91">
        <f t="shared" ref="G91:G93" si="15">F91/F$95</f>
        <v>0.30470140335146478</v>
      </c>
      <c r="H91" s="7">
        <f t="shared" ref="H91:H93" si="16">G91</f>
        <v>0.30470140335146478</v>
      </c>
    </row>
    <row r="92" spans="1:8" x14ac:dyDescent="0.2">
      <c r="A92" t="str">
        <f t="shared" ref="A92:H92" si="17">A68</f>
        <v>M3</v>
      </c>
      <c r="B92">
        <f t="shared" si="17"/>
        <v>-4.6051701859880909</v>
      </c>
      <c r="C92">
        <v>2</v>
      </c>
      <c r="D92">
        <f t="shared" si="12"/>
        <v>-6.6051701859880909</v>
      </c>
      <c r="E92">
        <f t="shared" si="13"/>
        <v>-4.9120230054281455</v>
      </c>
      <c r="F92">
        <f t="shared" si="14"/>
        <v>7.3575888234288503E-3</v>
      </c>
      <c r="G92">
        <f t="shared" si="15"/>
        <v>5.0783567225244144E-3</v>
      </c>
      <c r="H92" s="7">
        <f t="shared" si="16"/>
        <v>5.0783567225244144E-3</v>
      </c>
    </row>
    <row r="93" spans="1:8" x14ac:dyDescent="0.2">
      <c r="A93" t="str">
        <f t="shared" ref="A93:H93" si="18">A69</f>
        <v>M4</v>
      </c>
      <c r="B93">
        <f t="shared" si="18"/>
        <v>-22.818836760556131</v>
      </c>
      <c r="C93">
        <v>2</v>
      </c>
      <c r="D93">
        <f t="shared" si="12"/>
        <v>-24.818836760556131</v>
      </c>
      <c r="E93">
        <f t="shared" si="13"/>
        <v>-23.125689579996184</v>
      </c>
      <c r="F93">
        <f t="shared" si="14"/>
        <v>9.0498342528174942E-11</v>
      </c>
      <c r="G93">
        <f t="shared" si="15"/>
        <v>6.2463787687050354E-11</v>
      </c>
      <c r="H93" s="7">
        <f t="shared" si="16"/>
        <v>6.2463787687050354E-11</v>
      </c>
    </row>
    <row r="94" spans="1:8" x14ac:dyDescent="0.2">
      <c r="F94" t="s">
        <v>27</v>
      </c>
    </row>
    <row r="95" spans="1:8" x14ac:dyDescent="0.2">
      <c r="C95" t="s">
        <v>60</v>
      </c>
      <c r="D95">
        <f>MAX(D90:D93)</f>
        <v>-1.6931471805599454</v>
      </c>
      <c r="F95">
        <f>SUM(F90:F93)</f>
        <v>1.4488129183196579</v>
      </c>
    </row>
    <row r="97" spans="1:8" x14ac:dyDescent="0.2">
      <c r="A97" t="s">
        <v>61</v>
      </c>
    </row>
    <row r="100" spans="1:8" x14ac:dyDescent="0.2">
      <c r="A100" t="s">
        <v>62</v>
      </c>
    </row>
    <row r="101" spans="1:8" x14ac:dyDescent="0.2">
      <c r="A101" t="s">
        <v>63</v>
      </c>
    </row>
    <row r="103" spans="1:8" x14ac:dyDescent="0.2">
      <c r="A103" t="s">
        <v>64</v>
      </c>
    </row>
    <row r="105" spans="1:8" x14ac:dyDescent="0.2">
      <c r="A105" t="s">
        <v>65</v>
      </c>
    </row>
    <row r="107" spans="1:8" ht="85" x14ac:dyDescent="0.2">
      <c r="A107" s="5" t="s">
        <v>21</v>
      </c>
      <c r="B107" s="5" t="s">
        <v>26</v>
      </c>
      <c r="C107" s="5" t="s">
        <v>59</v>
      </c>
      <c r="D107" s="5" t="s">
        <v>58</v>
      </c>
      <c r="E107" s="5" t="s">
        <v>43</v>
      </c>
      <c r="F107" s="5" t="s">
        <v>51</v>
      </c>
      <c r="G107" s="5" t="s">
        <v>52</v>
      </c>
      <c r="H107" s="5" t="s">
        <v>45</v>
      </c>
    </row>
    <row r="108" spans="1:8" x14ac:dyDescent="0.2">
      <c r="A108" t="str">
        <f>A90</f>
        <v>M1</v>
      </c>
      <c r="B108">
        <f>B90</f>
        <v>-0.69314718055994529</v>
      </c>
      <c r="C108">
        <f>C90</f>
        <v>1</v>
      </c>
      <c r="D108">
        <f>-2*(B108-C108)</f>
        <v>3.3862943611198908</v>
      </c>
      <c r="E108">
        <f>D108-D$113</f>
        <v>0</v>
      </c>
      <c r="F108">
        <f>EXP(-0.5*E108)</f>
        <v>1</v>
      </c>
      <c r="G108">
        <f>F108/F$113</f>
        <v>0.69022023986354719</v>
      </c>
      <c r="H108" s="7">
        <f>G108</f>
        <v>0.69022023986354719</v>
      </c>
    </row>
    <row r="109" spans="1:8" x14ac:dyDescent="0.2">
      <c r="A109" t="str">
        <f t="shared" ref="A109:C111" si="19">A91</f>
        <v>M2</v>
      </c>
      <c r="B109">
        <f t="shared" si="19"/>
        <v>-0.51082562376599072</v>
      </c>
      <c r="C109">
        <f t="shared" si="19"/>
        <v>2</v>
      </c>
      <c r="D109">
        <f t="shared" ref="D109:D111" si="20">-2*(B109-C109)</f>
        <v>5.021651247531981</v>
      </c>
      <c r="E109">
        <f t="shared" ref="E109:E111" si="21">D109-D$113</f>
        <v>1.6353568864120902</v>
      </c>
      <c r="F109">
        <f t="shared" ref="F109:F111" si="22">EXP(-0.5*E109)</f>
        <v>0.4414553294057309</v>
      </c>
      <c r="G109">
        <f t="shared" ref="G109:G111" si="23">F109/F$113</f>
        <v>0.30470140335146478</v>
      </c>
      <c r="H109" s="7">
        <f t="shared" ref="H109:H111" si="24">G109</f>
        <v>0.30470140335146478</v>
      </c>
    </row>
    <row r="110" spans="1:8" x14ac:dyDescent="0.2">
      <c r="A110" t="str">
        <f t="shared" si="19"/>
        <v>M3</v>
      </c>
      <c r="B110">
        <f t="shared" si="19"/>
        <v>-4.6051701859880909</v>
      </c>
      <c r="C110">
        <f t="shared" si="19"/>
        <v>2</v>
      </c>
      <c r="D110">
        <f t="shared" si="20"/>
        <v>13.210340371976182</v>
      </c>
      <c r="E110">
        <f t="shared" si="21"/>
        <v>9.824046010856291</v>
      </c>
      <c r="F110">
        <f t="shared" si="22"/>
        <v>7.3575888234288503E-3</v>
      </c>
      <c r="G110">
        <f t="shared" si="23"/>
        <v>5.0783567225244144E-3</v>
      </c>
      <c r="H110" s="7">
        <f t="shared" si="24"/>
        <v>5.0783567225244144E-3</v>
      </c>
    </row>
    <row r="111" spans="1:8" x14ac:dyDescent="0.2">
      <c r="A111" t="str">
        <f t="shared" si="19"/>
        <v>M4</v>
      </c>
      <c r="B111">
        <f t="shared" si="19"/>
        <v>-22.818836760556131</v>
      </c>
      <c r="C111">
        <f t="shared" si="19"/>
        <v>2</v>
      </c>
      <c r="D111">
        <f t="shared" si="20"/>
        <v>49.637673521112262</v>
      </c>
      <c r="E111">
        <f t="shared" si="21"/>
        <v>46.251379159992368</v>
      </c>
      <c r="F111">
        <f t="shared" si="22"/>
        <v>9.0498342528174942E-11</v>
      </c>
      <c r="G111">
        <f t="shared" si="23"/>
        <v>6.2463787687050354E-11</v>
      </c>
      <c r="H111" s="7">
        <f t="shared" si="24"/>
        <v>6.2463787687050354E-11</v>
      </c>
    </row>
    <row r="112" spans="1:8" x14ac:dyDescent="0.2">
      <c r="F112" t="s">
        <v>27</v>
      </c>
    </row>
    <row r="113" spans="1:6" x14ac:dyDescent="0.2">
      <c r="C113" t="s">
        <v>66</v>
      </c>
      <c r="D113">
        <f>MIN(D108:D111)</f>
        <v>3.3862943611198908</v>
      </c>
      <c r="F113">
        <f>SUM(F108:F111)</f>
        <v>1.4488129183196579</v>
      </c>
    </row>
    <row r="115" spans="1:6" x14ac:dyDescent="0.2">
      <c r="A1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2022-10-06T21:53:08Z</dcterms:created>
  <dcterms:modified xsi:type="dcterms:W3CDTF">2022-10-06T23:04:19Z</dcterms:modified>
</cp:coreProperties>
</file>