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Dropbox/251110 Biogeobears - instructor/251110 Biogeobears - participants/labs/lab02/"/>
    </mc:Choice>
  </mc:AlternateContent>
  <xr:revisionPtr revIDLastSave="0" documentId="8_{69FDD3C8-FCC9-8B42-8141-E9858044480A}" xr6:coauthVersionLast="47" xr6:coauthVersionMax="47" xr10:uidLastSave="{00000000-0000-0000-0000-000000000000}"/>
  <bookViews>
    <workbookView xWindow="2780" yWindow="500" windowWidth="23860" windowHeight="17420" xr2:uid="{8E8FDB9A-5150-2647-B9BC-8DD5636DAC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29" i="1"/>
  <c r="G30" i="1"/>
  <c r="G31" i="1"/>
  <c r="G32" i="1"/>
  <c r="G33" i="1"/>
  <c r="G34" i="1"/>
  <c r="G35" i="1"/>
  <c r="G36" i="1"/>
  <c r="G37" i="1"/>
  <c r="G38" i="1"/>
  <c r="G39" i="1"/>
  <c r="G28" i="1"/>
  <c r="F40" i="1"/>
  <c r="F29" i="1"/>
  <c r="F30" i="1"/>
  <c r="F31" i="1"/>
  <c r="F32" i="1"/>
  <c r="F33" i="1"/>
  <c r="F34" i="1"/>
  <c r="F35" i="1"/>
  <c r="F36" i="1"/>
  <c r="F37" i="1"/>
  <c r="F38" i="1"/>
  <c r="F39" i="1"/>
  <c r="F28" i="1"/>
  <c r="E29" i="1"/>
  <c r="E30" i="1"/>
  <c r="E31" i="1"/>
  <c r="E32" i="1"/>
  <c r="E33" i="1"/>
  <c r="E34" i="1"/>
  <c r="E35" i="1"/>
  <c r="E36" i="1"/>
  <c r="E37" i="1"/>
  <c r="E38" i="1"/>
  <c r="E39" i="1"/>
  <c r="E28" i="1"/>
  <c r="D40" i="1"/>
  <c r="D39" i="1"/>
  <c r="D38" i="1"/>
  <c r="D37" i="1"/>
  <c r="D36" i="1"/>
  <c r="D35" i="1"/>
  <c r="D34" i="1"/>
  <c r="E16" i="1"/>
  <c r="E17" i="1"/>
  <c r="E18" i="1"/>
  <c r="E19" i="1"/>
  <c r="E20" i="1"/>
  <c r="E15" i="1"/>
  <c r="D22" i="1"/>
  <c r="D20" i="1"/>
  <c r="F20" i="1" s="1"/>
  <c r="G20" i="1" s="1"/>
  <c r="D19" i="1"/>
  <c r="D18" i="1"/>
  <c r="D17" i="1"/>
  <c r="F17" i="1" s="1"/>
  <c r="G17" i="1" s="1"/>
  <c r="D16" i="1"/>
  <c r="F16" i="1" s="1"/>
  <c r="G16" i="1" s="1"/>
  <c r="D15" i="1"/>
  <c r="F15" i="1" s="1"/>
  <c r="F4" i="1"/>
  <c r="G5" i="1"/>
  <c r="G6" i="1"/>
  <c r="G8" i="1"/>
  <c r="G9" i="1"/>
  <c r="G4" i="1"/>
  <c r="F11" i="1"/>
  <c r="G7" i="1" s="1"/>
  <c r="F5" i="1"/>
  <c r="F6" i="1"/>
  <c r="F7" i="1"/>
  <c r="F8" i="1"/>
  <c r="F9" i="1"/>
  <c r="E5" i="1"/>
  <c r="E6" i="1"/>
  <c r="E7" i="1"/>
  <c r="E8" i="1"/>
  <c r="E9" i="1"/>
  <c r="E4" i="1"/>
  <c r="D11" i="1"/>
  <c r="D5" i="1"/>
  <c r="D6" i="1"/>
  <c r="D7" i="1"/>
  <c r="D8" i="1"/>
  <c r="D9" i="1"/>
  <c r="D4" i="1"/>
  <c r="F18" i="1" l="1"/>
  <c r="G18" i="1" s="1"/>
  <c r="F19" i="1"/>
  <c r="G19" i="1" s="1"/>
  <c r="F22" i="1"/>
  <c r="G15" i="1"/>
  <c r="G22" i="1" s="1"/>
  <c r="G11" i="1"/>
</calcChain>
</file>

<file path=xl/sharedStrings.xml><?xml version="1.0" encoding="utf-8"?>
<sst xmlns="http://schemas.openxmlformats.org/spreadsheetml/2006/main" count="64" uniqueCount="29">
  <si>
    <t>Model</t>
  </si>
  <si>
    <t>lnL</t>
  </si>
  <si>
    <t>np</t>
  </si>
  <si>
    <t>AIC</t>
  </si>
  <si>
    <t>deltaAIC</t>
  </si>
  <si>
    <t>rel_like</t>
  </si>
  <si>
    <t>AICwt</t>
  </si>
  <si>
    <t>DEC_M0</t>
  </si>
  <si>
    <t>DEC_+J_M0</t>
  </si>
  <si>
    <t>DIVALIKE_M0</t>
  </si>
  <si>
    <t>DIVALIKE+J_M0</t>
  </si>
  <si>
    <t>BAYAREALIKE_M0</t>
  </si>
  <si>
    <t>BAYAREALIKE+J_M0</t>
  </si>
  <si>
    <t>minAIC=</t>
  </si>
  <si>
    <t>sum rel like=</t>
  </si>
  <si>
    <t>DEC_M2</t>
  </si>
  <si>
    <t>DEC_+J_M2</t>
  </si>
  <si>
    <t>DIVALIKE_M2</t>
  </si>
  <si>
    <t>DIVALIKE+J_M2</t>
  </si>
  <si>
    <t>BAYAREALIKE_M2</t>
  </si>
  <si>
    <t>BAYAREALIKE+J_M2</t>
  </si>
  <si>
    <t>Comparison of all 12 models</t>
  </si>
  <si>
    <t>&lt;-</t>
  </si>
  <si>
    <t>ALL MODELS ARE WRONG</t>
  </si>
  <si>
    <t>BUT SOMETIMES NEW MODELS ARE MUCH</t>
  </si>
  <si>
    <t>BETTER THAN OLDER MODELS</t>
  </si>
  <si>
    <t>THE NEW MODELS ARE 'WRONG' TOO</t>
  </si>
  <si>
    <t>BUT THEY ARE *LESS* WRONG,</t>
  </si>
  <si>
    <t>AND THAT IS USEFUL TO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</si>
</sst>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2" fillId="0" borderId="1" xfId="0" applyFont="1" applyBorder="1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0" xfId="0" applyFont="1"/>
    <xf numFmtId="164" fontId="0" fillId="0" borderId="0" xfId="0" applyNumberFormat="1"/>
    <xf numFmtId="164" fontId="4" fillId="0" borderId="0" xfId="0" applyNumberFormat="1" applyFont="1"/>
    <xf numFmtId="11" fontId="4" fillId="0" borderId="0" xfId="0" applyNumberFormat="1" applyFont="1"/>
    <xf numFmtId="11" fontId="0" fillId="0" borderId="0" xfId="0" applyNumberFormat="1"/>
    <xf numFmtId="0" fontId="0" fillId="0" borderId="0" xfId="0" quotePrefix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0EE9-A249-4547-99ED-A02E1FF6129A}">
  <dimension ref="A2:I40"/>
  <sheetViews>
    <sheetView tabSelected="1" topLeftCell="A17" zoomScale="150" zoomScaleNormal="150" workbookViewId="0">
      <selection activeCell="I37" sqref="I37"/>
    </sheetView>
  </sheetViews>
  <sheetFormatPr baseColWidth="10" defaultRowHeight="16" x14ac:dyDescent="0.2"/>
  <cols>
    <col min="1" max="1" width="16.1640625" customWidth="1"/>
    <col min="2" max="2" width="5.6640625" customWidth="1"/>
    <col min="3" max="3" width="3.83203125" customWidth="1"/>
    <col min="6" max="7" width="12.1640625" bestFit="1" customWidth="1"/>
  </cols>
  <sheetData>
    <row r="2" spans="1:7" ht="17" thickBot="1" x14ac:dyDescent="0.25"/>
    <row r="3" spans="1:7" ht="17" thickBo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">
      <c r="A4" t="s">
        <v>7</v>
      </c>
      <c r="B4">
        <v>-34.5</v>
      </c>
      <c r="C4">
        <v>2</v>
      </c>
      <c r="D4">
        <f>-2*(B4-C4)</f>
        <v>73</v>
      </c>
      <c r="E4">
        <f>D4-D$11</f>
        <v>25.200000000000003</v>
      </c>
      <c r="F4" s="3">
        <f>EXP(-0.5*E4)</f>
        <v>3.3720152341391786E-6</v>
      </c>
      <c r="G4" s="1">
        <f>F4/F$11</f>
        <v>1.4563873263122648E-6</v>
      </c>
    </row>
    <row r="5" spans="1:7" x14ac:dyDescent="0.2">
      <c r="A5" t="s">
        <v>8</v>
      </c>
      <c r="B5">
        <v>-20.9</v>
      </c>
      <c r="C5">
        <v>3</v>
      </c>
      <c r="D5">
        <f t="shared" ref="D5:D9" si="0">-2*(B5-C5)</f>
        <v>47.8</v>
      </c>
      <c r="E5">
        <f t="shared" ref="E5:E9" si="1">D5-D$11</f>
        <v>0</v>
      </c>
      <c r="F5" s="3">
        <f t="shared" ref="F5:F9" si="2">EXP(-0.5*E5)</f>
        <v>1</v>
      </c>
      <c r="G5" s="1">
        <f t="shared" ref="G5:G9" si="3">F5/F$11</f>
        <v>0.43190413600965155</v>
      </c>
    </row>
    <row r="6" spans="1:7" x14ac:dyDescent="0.2">
      <c r="A6" t="s">
        <v>9</v>
      </c>
      <c r="B6">
        <v>-33.5</v>
      </c>
      <c r="C6">
        <v>2</v>
      </c>
      <c r="D6">
        <f t="shared" si="0"/>
        <v>71</v>
      </c>
      <c r="E6">
        <f t="shared" si="1"/>
        <v>23.200000000000003</v>
      </c>
      <c r="F6" s="3">
        <f t="shared" si="2"/>
        <v>9.1660877362476019E-6</v>
      </c>
      <c r="G6" s="1">
        <f t="shared" si="3"/>
        <v>3.9588712043126835E-6</v>
      </c>
    </row>
    <row r="7" spans="1:7" x14ac:dyDescent="0.2">
      <c r="A7" t="s">
        <v>10</v>
      </c>
      <c r="B7">
        <v>-21.1</v>
      </c>
      <c r="C7">
        <v>3</v>
      </c>
      <c r="D7">
        <f t="shared" si="0"/>
        <v>48.2</v>
      </c>
      <c r="E7">
        <f t="shared" si="1"/>
        <v>0.40000000000000568</v>
      </c>
      <c r="F7" s="3">
        <f t="shared" si="2"/>
        <v>0.81873075307797949</v>
      </c>
      <c r="G7" s="1">
        <f t="shared" si="3"/>
        <v>0.35361319853267609</v>
      </c>
    </row>
    <row r="8" spans="1:7" x14ac:dyDescent="0.2">
      <c r="A8" t="s">
        <v>11</v>
      </c>
      <c r="B8">
        <v>-40.5</v>
      </c>
      <c r="C8">
        <v>2</v>
      </c>
      <c r="D8">
        <f t="shared" si="0"/>
        <v>85</v>
      </c>
      <c r="E8">
        <f t="shared" si="1"/>
        <v>37.200000000000003</v>
      </c>
      <c r="F8" s="3">
        <f t="shared" si="2"/>
        <v>8.3583901013746085E-9</v>
      </c>
      <c r="G8" s="1">
        <f t="shared" si="3"/>
        <v>3.6100232551658241E-9</v>
      </c>
    </row>
    <row r="9" spans="1:7" x14ac:dyDescent="0.2">
      <c r="A9" t="s">
        <v>12</v>
      </c>
      <c r="B9">
        <v>-21.6</v>
      </c>
      <c r="C9">
        <v>3</v>
      </c>
      <c r="D9">
        <f t="shared" si="0"/>
        <v>49.2</v>
      </c>
      <c r="E9">
        <f t="shared" si="1"/>
        <v>1.4000000000000057</v>
      </c>
      <c r="F9" s="3">
        <f t="shared" si="2"/>
        <v>0.49658530379140808</v>
      </c>
      <c r="G9" s="1">
        <f t="shared" si="3"/>
        <v>0.21447724658911846</v>
      </c>
    </row>
    <row r="11" spans="1:7" x14ac:dyDescent="0.2">
      <c r="B11" t="s">
        <v>13</v>
      </c>
      <c r="D11">
        <f>MIN(D4:D9)</f>
        <v>47.8</v>
      </c>
      <c r="E11" t="s">
        <v>14</v>
      </c>
      <c r="F11">
        <f>SUM(F4:F9)</f>
        <v>2.3153286033307481</v>
      </c>
      <c r="G11">
        <f>SUM(G4:G9)</f>
        <v>1</v>
      </c>
    </row>
    <row r="13" spans="1:7" ht="17" thickBot="1" x14ac:dyDescent="0.25"/>
    <row r="14" spans="1:7" ht="17" thickBot="1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</row>
    <row r="15" spans="1:7" x14ac:dyDescent="0.2">
      <c r="A15" t="s">
        <v>15</v>
      </c>
      <c r="B15">
        <v>-31.4</v>
      </c>
      <c r="C15">
        <v>2</v>
      </c>
      <c r="D15">
        <f>-2*(B15-C15)</f>
        <v>66.8</v>
      </c>
      <c r="E15">
        <f>D15-D$22</f>
        <v>27.459999999999994</v>
      </c>
      <c r="F15" s="3">
        <f>EXP(-0.5*E15)</f>
        <v>1.0892730617894295E-6</v>
      </c>
      <c r="G15" s="1">
        <f>F15/F$11</f>
        <v>4.7046154063075136E-7</v>
      </c>
    </row>
    <row r="16" spans="1:7" x14ac:dyDescent="0.2">
      <c r="A16" t="s">
        <v>16</v>
      </c>
      <c r="B16">
        <v>-16.670000000000002</v>
      </c>
      <c r="C16">
        <v>3</v>
      </c>
      <c r="D16">
        <f t="shared" ref="D16:D20" si="4">-2*(B16-C16)</f>
        <v>39.340000000000003</v>
      </c>
      <c r="E16">
        <f t="shared" ref="E16:E20" si="5">D16-D$22</f>
        <v>0</v>
      </c>
      <c r="F16" s="3">
        <f t="shared" ref="F16:F20" si="6">EXP(-0.5*E16)</f>
        <v>1</v>
      </c>
      <c r="G16" s="1">
        <f t="shared" ref="G16:G20" si="7">F16/F$11</f>
        <v>0.43190413600965155</v>
      </c>
    </row>
    <row r="17" spans="1:9" x14ac:dyDescent="0.2">
      <c r="A17" t="s">
        <v>17</v>
      </c>
      <c r="B17">
        <v>-29.06</v>
      </c>
      <c r="C17">
        <v>2</v>
      </c>
      <c r="D17">
        <f t="shared" si="4"/>
        <v>62.12</v>
      </c>
      <c r="E17">
        <f t="shared" si="5"/>
        <v>22.779999999999994</v>
      </c>
      <c r="F17" s="3">
        <f t="shared" si="6"/>
        <v>1.1308001335847286E-5</v>
      </c>
      <c r="G17" s="1">
        <f t="shared" si="7"/>
        <v>4.8839725469551079E-6</v>
      </c>
    </row>
    <row r="18" spans="1:9" x14ac:dyDescent="0.2">
      <c r="A18" t="s">
        <v>18</v>
      </c>
      <c r="B18">
        <v>-16.88</v>
      </c>
      <c r="C18">
        <v>3</v>
      </c>
      <c r="D18">
        <f t="shared" si="4"/>
        <v>39.76</v>
      </c>
      <c r="E18">
        <f t="shared" si="5"/>
        <v>0.4199999999999946</v>
      </c>
      <c r="F18" s="3">
        <f t="shared" si="6"/>
        <v>0.8105842459701893</v>
      </c>
      <c r="G18" s="1">
        <f t="shared" si="7"/>
        <v>0.35009468841878949</v>
      </c>
    </row>
    <row r="19" spans="1:9" x14ac:dyDescent="0.2">
      <c r="A19" t="s">
        <v>19</v>
      </c>
      <c r="B19">
        <v>-40.229999999999997</v>
      </c>
      <c r="C19">
        <v>2</v>
      </c>
      <c r="D19">
        <f t="shared" si="4"/>
        <v>84.46</v>
      </c>
      <c r="E19">
        <f t="shared" si="5"/>
        <v>45.11999999999999</v>
      </c>
      <c r="F19" s="3">
        <f t="shared" si="6"/>
        <v>1.5933694579638052E-10</v>
      </c>
      <c r="G19" s="1">
        <f t="shared" si="7"/>
        <v>6.8818285908602404E-11</v>
      </c>
    </row>
    <row r="20" spans="1:9" x14ac:dyDescent="0.2">
      <c r="A20" t="s">
        <v>20</v>
      </c>
      <c r="B20">
        <v>-16.88</v>
      </c>
      <c r="C20">
        <v>3</v>
      </c>
      <c r="D20">
        <f t="shared" si="4"/>
        <v>39.76</v>
      </c>
      <c r="E20">
        <f t="shared" si="5"/>
        <v>0.4199999999999946</v>
      </c>
      <c r="F20" s="3">
        <f t="shared" si="6"/>
        <v>0.8105842459701893</v>
      </c>
      <c r="G20" s="1">
        <f t="shared" si="7"/>
        <v>0.35009468841878949</v>
      </c>
    </row>
    <row r="22" spans="1:9" x14ac:dyDescent="0.2">
      <c r="B22" t="s">
        <v>13</v>
      </c>
      <c r="D22">
        <f>MIN(D15:D20)</f>
        <v>39.340000000000003</v>
      </c>
      <c r="E22" t="s">
        <v>14</v>
      </c>
      <c r="F22">
        <f>SUM(F15:F20)</f>
        <v>2.6211808893741129</v>
      </c>
      <c r="G22">
        <f>SUM(G15:G20)</f>
        <v>1.1320988673501364</v>
      </c>
    </row>
    <row r="25" spans="1:9" x14ac:dyDescent="0.2">
      <c r="A25" t="s">
        <v>21</v>
      </c>
    </row>
    <row r="26" spans="1:9" ht="17" thickBot="1" x14ac:dyDescent="0.25"/>
    <row r="27" spans="1:9" ht="17" thickBot="1" x14ac:dyDescent="0.25">
      <c r="A27" s="4" t="s">
        <v>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</row>
    <row r="28" spans="1:9" x14ac:dyDescent="0.2">
      <c r="A28" s="5" t="s">
        <v>7</v>
      </c>
      <c r="B28" s="5">
        <v>-34.5</v>
      </c>
      <c r="C28" s="5">
        <v>2</v>
      </c>
      <c r="D28" s="5">
        <v>73</v>
      </c>
      <c r="E28" s="5">
        <f>D28-D$40</f>
        <v>33.659999999999997</v>
      </c>
      <c r="F28" s="8">
        <f>EXP(-0.5*E28)</f>
        <v>4.9070882622402336E-8</v>
      </c>
      <c r="G28" s="7">
        <f>F28/F$40</f>
        <v>1.8483315669230956E-8</v>
      </c>
    </row>
    <row r="29" spans="1:9" x14ac:dyDescent="0.2">
      <c r="A29" s="5" t="s">
        <v>8</v>
      </c>
      <c r="B29" s="5">
        <v>-20.9</v>
      </c>
      <c r="C29" s="5">
        <v>3</v>
      </c>
      <c r="D29" s="5">
        <v>47.8</v>
      </c>
      <c r="E29" s="5">
        <f t="shared" ref="E29:E39" si="8">D29-D$40</f>
        <v>8.4599999999999937</v>
      </c>
      <c r="F29" s="8">
        <f t="shared" ref="F29:F39" si="9">EXP(-0.5*E29)</f>
        <v>1.4552390548416175E-2</v>
      </c>
      <c r="G29" s="7">
        <f t="shared" ref="G29:G39" si="10">F29/F$40</f>
        <v>5.481385576820934E-3</v>
      </c>
      <c r="H29" s="10" t="s">
        <v>22</v>
      </c>
      <c r="I29" t="s">
        <v>23</v>
      </c>
    </row>
    <row r="30" spans="1:9" x14ac:dyDescent="0.2">
      <c r="A30" s="5" t="s">
        <v>9</v>
      </c>
      <c r="B30" s="5">
        <v>-33.5</v>
      </c>
      <c r="C30" s="5">
        <v>2</v>
      </c>
      <c r="D30" s="5">
        <v>71</v>
      </c>
      <c r="E30" s="5">
        <f t="shared" si="8"/>
        <v>31.659999999999997</v>
      </c>
      <c r="F30" s="8">
        <f t="shared" si="9"/>
        <v>1.3338848853892302E-7</v>
      </c>
      <c r="G30" s="7">
        <f t="shared" si="10"/>
        <v>5.0242861113342849E-8</v>
      </c>
    </row>
    <row r="31" spans="1:9" x14ac:dyDescent="0.2">
      <c r="A31" s="5" t="s">
        <v>10</v>
      </c>
      <c r="B31" s="5">
        <v>-21.1</v>
      </c>
      <c r="C31" s="5">
        <v>3</v>
      </c>
      <c r="D31" s="5">
        <v>48.2</v>
      </c>
      <c r="E31" s="5">
        <f t="shared" si="8"/>
        <v>8.86</v>
      </c>
      <c r="F31" s="8">
        <f t="shared" si="9"/>
        <v>1.1914489672789647E-2</v>
      </c>
      <c r="G31" s="7">
        <f t="shared" si="10"/>
        <v>4.487778941221379E-3</v>
      </c>
      <c r="H31" s="10" t="s">
        <v>22</v>
      </c>
      <c r="I31" t="s">
        <v>24</v>
      </c>
    </row>
    <row r="32" spans="1:9" x14ac:dyDescent="0.2">
      <c r="A32" s="5" t="s">
        <v>11</v>
      </c>
      <c r="B32" s="5">
        <v>-40.5</v>
      </c>
      <c r="C32" s="5">
        <v>2</v>
      </c>
      <c r="D32" s="5">
        <v>85</v>
      </c>
      <c r="E32" s="5">
        <f t="shared" si="8"/>
        <v>45.66</v>
      </c>
      <c r="F32" s="8">
        <f t="shared" si="9"/>
        <v>1.2163455711121917E-10</v>
      </c>
      <c r="G32" s="7">
        <f t="shared" si="10"/>
        <v>4.5815558947117644E-11</v>
      </c>
      <c r="I32" t="s">
        <v>25</v>
      </c>
    </row>
    <row r="33" spans="1:9" x14ac:dyDescent="0.2">
      <c r="A33" s="5" t="s">
        <v>12</v>
      </c>
      <c r="B33" s="5">
        <v>-21.6</v>
      </c>
      <c r="C33" s="5">
        <v>3</v>
      </c>
      <c r="D33" s="5">
        <v>49.2</v>
      </c>
      <c r="E33" s="5">
        <f t="shared" si="8"/>
        <v>9.86</v>
      </c>
      <c r="F33" s="8">
        <f t="shared" si="9"/>
        <v>7.2265032813764625E-3</v>
      </c>
      <c r="G33" s="7">
        <f t="shared" si="10"/>
        <v>2.7219755218634662E-3</v>
      </c>
      <c r="H33" s="10" t="s">
        <v>22</v>
      </c>
    </row>
    <row r="34" spans="1:9" x14ac:dyDescent="0.2">
      <c r="A34" t="s">
        <v>15</v>
      </c>
      <c r="B34">
        <v>-31.4</v>
      </c>
      <c r="C34">
        <v>2</v>
      </c>
      <c r="D34">
        <f>-2*(B34-C34)</f>
        <v>66.8</v>
      </c>
      <c r="E34" s="5">
        <f t="shared" si="8"/>
        <v>27.459999999999994</v>
      </c>
      <c r="F34" s="8">
        <f t="shared" si="9"/>
        <v>1.0892730617894295E-6</v>
      </c>
      <c r="G34" s="7">
        <f t="shared" si="10"/>
        <v>4.1029174074509615E-7</v>
      </c>
      <c r="I34" t="s">
        <v>26</v>
      </c>
    </row>
    <row r="35" spans="1:9" x14ac:dyDescent="0.2">
      <c r="A35" t="s">
        <v>16</v>
      </c>
      <c r="B35">
        <v>-16.670000000000002</v>
      </c>
      <c r="C35">
        <v>3</v>
      </c>
      <c r="D35">
        <f t="shared" ref="D35:D39" si="11">-2*(B35-C35)</f>
        <v>39.340000000000003</v>
      </c>
      <c r="E35" s="5">
        <f t="shared" si="8"/>
        <v>0</v>
      </c>
      <c r="F35" s="8">
        <f t="shared" si="9"/>
        <v>1</v>
      </c>
      <c r="G35" s="7">
        <f t="shared" si="10"/>
        <v>0.37666564531677627</v>
      </c>
      <c r="H35" s="10" t="s">
        <v>22</v>
      </c>
      <c r="I35" t="s">
        <v>27</v>
      </c>
    </row>
    <row r="36" spans="1:9" x14ac:dyDescent="0.2">
      <c r="A36" t="s">
        <v>17</v>
      </c>
      <c r="B36">
        <v>-29.06</v>
      </c>
      <c r="C36">
        <v>2</v>
      </c>
      <c r="D36">
        <f t="shared" si="11"/>
        <v>62.12</v>
      </c>
      <c r="E36" s="5">
        <f t="shared" si="8"/>
        <v>22.779999999999994</v>
      </c>
      <c r="F36" s="8">
        <f t="shared" si="9"/>
        <v>1.1308001335847286E-5</v>
      </c>
      <c r="G36" s="7">
        <f t="shared" si="10"/>
        <v>4.2593356204098861E-6</v>
      </c>
      <c r="I36" t="s">
        <v>28</v>
      </c>
    </row>
    <row r="37" spans="1:9" x14ac:dyDescent="0.2">
      <c r="A37" t="s">
        <v>18</v>
      </c>
      <c r="B37">
        <v>-16.88</v>
      </c>
      <c r="C37">
        <v>3</v>
      </c>
      <c r="D37">
        <f t="shared" si="11"/>
        <v>39.76</v>
      </c>
      <c r="E37" s="5">
        <f t="shared" si="8"/>
        <v>0.4199999999999946</v>
      </c>
      <c r="F37" s="8">
        <f t="shared" si="9"/>
        <v>0.8105842459701893</v>
      </c>
      <c r="G37" s="7">
        <f t="shared" si="10"/>
        <v>0.30531923809197387</v>
      </c>
      <c r="H37" s="10" t="s">
        <v>22</v>
      </c>
    </row>
    <row r="38" spans="1:9" x14ac:dyDescent="0.2">
      <c r="A38" t="s">
        <v>19</v>
      </c>
      <c r="B38">
        <v>-40.229999999999997</v>
      </c>
      <c r="C38">
        <v>2</v>
      </c>
      <c r="D38">
        <f t="shared" si="11"/>
        <v>84.46</v>
      </c>
      <c r="E38" s="5">
        <f t="shared" si="8"/>
        <v>45.11999999999999</v>
      </c>
      <c r="F38" s="8">
        <f t="shared" si="9"/>
        <v>1.5933694579638052E-10</v>
      </c>
      <c r="G38" s="7">
        <f t="shared" si="10"/>
        <v>6.0016753511197873E-11</v>
      </c>
    </row>
    <row r="39" spans="1:9" x14ac:dyDescent="0.2">
      <c r="A39" t="s">
        <v>20</v>
      </c>
      <c r="B39">
        <v>-16.88</v>
      </c>
      <c r="C39">
        <v>3</v>
      </c>
      <c r="D39">
        <f t="shared" si="11"/>
        <v>39.76</v>
      </c>
      <c r="E39" s="5">
        <f t="shared" si="8"/>
        <v>0.4199999999999946</v>
      </c>
      <c r="F39" s="8">
        <f t="shared" si="9"/>
        <v>0.8105842459701893</v>
      </c>
      <c r="G39" s="7">
        <f t="shared" si="10"/>
        <v>0.30531923809197387</v>
      </c>
      <c r="H39" s="10" t="s">
        <v>22</v>
      </c>
    </row>
    <row r="40" spans="1:9" x14ac:dyDescent="0.2">
      <c r="B40" t="s">
        <v>13</v>
      </c>
      <c r="D40">
        <f>MIN(D28:D39)</f>
        <v>39.340000000000003</v>
      </c>
      <c r="E40" t="s">
        <v>14</v>
      </c>
      <c r="F40" s="9">
        <f>SUM(F28:F39)</f>
        <v>2.6548744554577013</v>
      </c>
      <c r="G40" s="6">
        <f>SUM(G28:G39)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2025-11-12T09:46:09Z</dcterms:created>
  <dcterms:modified xsi:type="dcterms:W3CDTF">2025-11-12T10:02:53Z</dcterms:modified>
</cp:coreProperties>
</file>