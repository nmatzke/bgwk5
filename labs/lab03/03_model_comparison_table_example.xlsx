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ropbox (Personal)/251110 Biogeobears - instructor/251110 Biogeobears - participants/labs/lab03/"/>
    </mc:Choice>
  </mc:AlternateContent>
  <xr:revisionPtr revIDLastSave="0" documentId="13_ncr:1_{3E874B45-67A2-6A41-AE4A-B76C4A9C707E}" xr6:coauthVersionLast="47" xr6:coauthVersionMax="47" xr10:uidLastSave="{00000000-0000-0000-0000-000000000000}"/>
  <bookViews>
    <workbookView xWindow="2960" yWindow="740" windowWidth="29540" windowHeight="23800" xr2:uid="{8E8FDB9A-5150-2647-B9BC-8DD5636DA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72" i="1"/>
  <c r="E62" i="1" s="1"/>
  <c r="F62" i="1" s="1"/>
  <c r="D60" i="1"/>
  <c r="D61" i="1"/>
  <c r="D62" i="1"/>
  <c r="D63" i="1"/>
  <c r="D64" i="1"/>
  <c r="D65" i="1"/>
  <c r="D66" i="1"/>
  <c r="D67" i="1"/>
  <c r="D68" i="1"/>
  <c r="D69" i="1"/>
  <c r="D70" i="1"/>
  <c r="D59" i="1"/>
  <c r="D39" i="1"/>
  <c r="D38" i="1"/>
  <c r="D37" i="1"/>
  <c r="D36" i="1"/>
  <c r="D35" i="1"/>
  <c r="D34" i="1"/>
  <c r="D20" i="1"/>
  <c r="D19" i="1"/>
  <c r="D18" i="1"/>
  <c r="D17" i="1"/>
  <c r="D16" i="1"/>
  <c r="D15" i="1"/>
  <c r="D5" i="1"/>
  <c r="D6" i="1"/>
  <c r="D7" i="1"/>
  <c r="D8" i="1"/>
  <c r="D9" i="1"/>
  <c r="D4" i="1"/>
  <c r="D105" i="1" l="1"/>
  <c r="E90" i="1" s="1"/>
  <c r="F90" i="1" s="1"/>
  <c r="E54" i="1"/>
  <c r="F54" i="1" s="1"/>
  <c r="E57" i="1"/>
  <c r="F57" i="1" s="1"/>
  <c r="E55" i="1"/>
  <c r="F55" i="1" s="1"/>
  <c r="E56" i="1"/>
  <c r="F56" i="1" s="1"/>
  <c r="E58" i="1"/>
  <c r="F58" i="1" s="1"/>
  <c r="E53" i="1"/>
  <c r="F53" i="1" s="1"/>
  <c r="E68" i="1"/>
  <c r="F68" i="1" s="1"/>
  <c r="E67" i="1"/>
  <c r="F67" i="1" s="1"/>
  <c r="E48" i="1"/>
  <c r="F48" i="1" s="1"/>
  <c r="E65" i="1"/>
  <c r="F65" i="1" s="1"/>
  <c r="E61" i="1"/>
  <c r="F61" i="1" s="1"/>
  <c r="E60" i="1"/>
  <c r="F60" i="1" s="1"/>
  <c r="E47" i="1"/>
  <c r="F47" i="1" s="1"/>
  <c r="E59" i="1"/>
  <c r="F59" i="1" s="1"/>
  <c r="E50" i="1"/>
  <c r="F50" i="1" s="1"/>
  <c r="E49" i="1"/>
  <c r="F49" i="1" s="1"/>
  <c r="E66" i="1"/>
  <c r="F66" i="1" s="1"/>
  <c r="E64" i="1"/>
  <c r="F64" i="1" s="1"/>
  <c r="E70" i="1"/>
  <c r="F70" i="1" s="1"/>
  <c r="E52" i="1"/>
  <c r="F52" i="1" s="1"/>
  <c r="E69" i="1"/>
  <c r="F69" i="1" s="1"/>
  <c r="E51" i="1"/>
  <c r="F51" i="1" s="1"/>
  <c r="E63" i="1"/>
  <c r="F63" i="1" s="1"/>
  <c r="D40" i="1"/>
  <c r="E33" i="1" s="1"/>
  <c r="F33" i="1" s="1"/>
  <c r="D11" i="1"/>
  <c r="E7" i="1" s="1"/>
  <c r="F7" i="1" s="1"/>
  <c r="E4" i="1"/>
  <c r="F4" i="1" s="1"/>
  <c r="D22" i="1"/>
  <c r="E15" i="1" s="1"/>
  <c r="F15" i="1" s="1"/>
  <c r="E16" i="1"/>
  <c r="F16" i="1" s="1"/>
  <c r="E94" i="1" l="1"/>
  <c r="F94" i="1" s="1"/>
  <c r="E101" i="1"/>
  <c r="F101" i="1" s="1"/>
  <c r="E88" i="1"/>
  <c r="F88" i="1" s="1"/>
  <c r="E83" i="1"/>
  <c r="F83" i="1" s="1"/>
  <c r="E98" i="1"/>
  <c r="F98" i="1" s="1"/>
  <c r="E81" i="1"/>
  <c r="F81" i="1" s="1"/>
  <c r="E97" i="1"/>
  <c r="F97" i="1" s="1"/>
  <c r="E93" i="1"/>
  <c r="F93" i="1" s="1"/>
  <c r="E89" i="1"/>
  <c r="F89" i="1" s="1"/>
  <c r="E85" i="1"/>
  <c r="F85" i="1" s="1"/>
  <c r="E86" i="1"/>
  <c r="F86" i="1" s="1"/>
  <c r="E102" i="1"/>
  <c r="F102" i="1" s="1"/>
  <c r="E103" i="1"/>
  <c r="F103" i="1" s="1"/>
  <c r="E99" i="1"/>
  <c r="F99" i="1" s="1"/>
  <c r="E87" i="1"/>
  <c r="F87" i="1" s="1"/>
  <c r="E84" i="1"/>
  <c r="F84" i="1" s="1"/>
  <c r="E100" i="1"/>
  <c r="F100" i="1" s="1"/>
  <c r="E29" i="1"/>
  <c r="F29" i="1" s="1"/>
  <c r="E35" i="1"/>
  <c r="F35" i="1" s="1"/>
  <c r="E30" i="1"/>
  <c r="F30" i="1" s="1"/>
  <c r="E34" i="1"/>
  <c r="F34" i="1" s="1"/>
  <c r="E31" i="1"/>
  <c r="F31" i="1" s="1"/>
  <c r="E32" i="1"/>
  <c r="F32" i="1" s="1"/>
  <c r="G32" i="1" s="1"/>
  <c r="E36" i="1"/>
  <c r="F36" i="1" s="1"/>
  <c r="E38" i="1"/>
  <c r="F38" i="1" s="1"/>
  <c r="E91" i="1"/>
  <c r="F91" i="1" s="1"/>
  <c r="E95" i="1"/>
  <c r="F95" i="1" s="1"/>
  <c r="E82" i="1"/>
  <c r="F82" i="1" s="1"/>
  <c r="E28" i="1"/>
  <c r="F28" i="1" s="1"/>
  <c r="F40" i="1" s="1"/>
  <c r="E39" i="1"/>
  <c r="F39" i="1" s="1"/>
  <c r="E37" i="1"/>
  <c r="F37" i="1" s="1"/>
  <c r="E92" i="1"/>
  <c r="F92" i="1" s="1"/>
  <c r="E96" i="1"/>
  <c r="F96" i="1" s="1"/>
  <c r="E80" i="1"/>
  <c r="F80" i="1" s="1"/>
  <c r="F72" i="1"/>
  <c r="G65" i="1" s="1"/>
  <c r="E9" i="1"/>
  <c r="F9" i="1" s="1"/>
  <c r="E18" i="1"/>
  <c r="F18" i="1" s="1"/>
  <c r="E17" i="1"/>
  <c r="F17" i="1" s="1"/>
  <c r="E5" i="1"/>
  <c r="F5" i="1" s="1"/>
  <c r="E8" i="1"/>
  <c r="F8" i="1" s="1"/>
  <c r="E6" i="1"/>
  <c r="F6" i="1" s="1"/>
  <c r="E19" i="1"/>
  <c r="F19" i="1" s="1"/>
  <c r="E20" i="1"/>
  <c r="F20" i="1" s="1"/>
  <c r="F105" i="1" l="1"/>
  <c r="G87" i="1" s="1"/>
  <c r="G99" i="1"/>
  <c r="G94" i="1"/>
  <c r="G86" i="1"/>
  <c r="G90" i="1"/>
  <c r="G102" i="1"/>
  <c r="G29" i="1"/>
  <c r="G31" i="1"/>
  <c r="G36" i="1"/>
  <c r="G89" i="1"/>
  <c r="G103" i="1"/>
  <c r="G92" i="1"/>
  <c r="G83" i="1"/>
  <c r="G85" i="1"/>
  <c r="G98" i="1"/>
  <c r="G96" i="1"/>
  <c r="G91" i="1"/>
  <c r="G100" i="1"/>
  <c r="G101" i="1"/>
  <c r="G82" i="1"/>
  <c r="G97" i="1"/>
  <c r="G95" i="1"/>
  <c r="F11" i="1"/>
  <c r="G5" i="1" s="1"/>
  <c r="G81" i="1"/>
  <c r="G53" i="1"/>
  <c r="G66" i="1"/>
  <c r="G59" i="1"/>
  <c r="G50" i="1"/>
  <c r="G55" i="1"/>
  <c r="G62" i="1"/>
  <c r="G47" i="1"/>
  <c r="G51" i="1"/>
  <c r="G57" i="1"/>
  <c r="G68" i="1"/>
  <c r="G61" i="1"/>
  <c r="G64" i="1"/>
  <c r="G49" i="1"/>
  <c r="G56" i="1"/>
  <c r="G52" i="1"/>
  <c r="G60" i="1"/>
  <c r="G70" i="1"/>
  <c r="G54" i="1"/>
  <c r="G48" i="1"/>
  <c r="G69" i="1"/>
  <c r="G67" i="1"/>
  <c r="G58" i="1"/>
  <c r="G63" i="1"/>
  <c r="G37" i="1"/>
  <c r="G34" i="1"/>
  <c r="G39" i="1"/>
  <c r="G38" i="1"/>
  <c r="G33" i="1"/>
  <c r="G35" i="1"/>
  <c r="G30" i="1"/>
  <c r="G28" i="1"/>
  <c r="G8" i="1"/>
  <c r="G20" i="1"/>
  <c r="G19" i="1"/>
  <c r="F22" i="1"/>
  <c r="G84" i="1" l="1"/>
  <c r="G80" i="1"/>
  <c r="G93" i="1"/>
  <c r="G88" i="1"/>
  <c r="G17" i="1"/>
  <c r="G18" i="1"/>
  <c r="G6" i="1"/>
  <c r="G7" i="1"/>
  <c r="G9" i="1"/>
  <c r="G4" i="1"/>
  <c r="G11" i="1" s="1"/>
  <c r="G16" i="1"/>
  <c r="G15" i="1"/>
  <c r="G22" i="1"/>
  <c r="G40" i="1"/>
</calcChain>
</file>

<file path=xl/sharedStrings.xml><?xml version="1.0" encoding="utf-8"?>
<sst xmlns="http://schemas.openxmlformats.org/spreadsheetml/2006/main" count="133" uniqueCount="50">
  <si>
    <t>Model</t>
  </si>
  <si>
    <t>lnL</t>
  </si>
  <si>
    <t>np</t>
  </si>
  <si>
    <t>AIC</t>
  </si>
  <si>
    <t>deltaAIC</t>
  </si>
  <si>
    <t>rel_like</t>
  </si>
  <si>
    <t>AICwt</t>
  </si>
  <si>
    <t>DEC_M0</t>
  </si>
  <si>
    <t>DEC_+J_M0</t>
  </si>
  <si>
    <t>DIVALIKE_M0</t>
  </si>
  <si>
    <t>DIVALIKE+J_M0</t>
  </si>
  <si>
    <t>BAYAREALIKE_M0</t>
  </si>
  <si>
    <t>BAYAREALIKE+J_M0</t>
  </si>
  <si>
    <t>minAIC=</t>
  </si>
  <si>
    <t>sum rel like=</t>
  </si>
  <si>
    <t>DEC_M2</t>
  </si>
  <si>
    <t>DEC_+J_M2</t>
  </si>
  <si>
    <t>DIVALIKE_M2</t>
  </si>
  <si>
    <t>DIVALIKE+J_M2</t>
  </si>
  <si>
    <t>BAYAREALIKE_M2</t>
  </si>
  <si>
    <t>BAYAREALIKE+J_M2</t>
  </si>
  <si>
    <t>Comparison of all 12 models</t>
  </si>
  <si>
    <t>&lt;-</t>
  </si>
  <si>
    <t>ALL MODELS ARE WRONG</t>
  </si>
  <si>
    <t>BUT SOMETIMES NEW MODELS ARE MUCH</t>
  </si>
  <si>
    <t>BETTER THAN OLDER MODELS</t>
  </si>
  <si>
    <t>THE NEW MODELS ARE 'WRONG' TOO</t>
  </si>
  <si>
    <t>BUT THEY ARE *LESS* WRONG,</t>
  </si>
  <si>
    <t>AND THAT IS USEFUL TO KNOW</t>
  </si>
  <si>
    <t>Adding +w, +x, +w+x</t>
  </si>
  <si>
    <t>DEC+w</t>
  </si>
  <si>
    <t>DEC+J+w</t>
  </si>
  <si>
    <t>DIVALIKE+w</t>
  </si>
  <si>
    <t>DIVALIKE+J+w</t>
  </si>
  <si>
    <t>BAYAREALIKE+w</t>
  </si>
  <si>
    <t>BAYAREALIKE+J+w</t>
  </si>
  <si>
    <t>DEC+w+x</t>
  </si>
  <si>
    <t>DEC+J+w+x</t>
  </si>
  <si>
    <t>DIVALIKE+w+x</t>
  </si>
  <si>
    <t>DIVALIKE+J+w+x</t>
  </si>
  <si>
    <t>BAYAREALIKE+w+x</t>
  </si>
  <si>
    <t>BAYAREALIKE+J+w+x</t>
  </si>
  <si>
    <t>AIC table</t>
  </si>
  <si>
    <t>AICc table - AICc is "sample-size corrected AIC", also known as "second-order AIC"</t>
  </si>
  <si>
    <t xml:space="preserve">See: https://brianomeara.info/aic.html </t>
  </si>
  <si>
    <t>AICc</t>
  </si>
  <si>
    <t>n (# data)</t>
  </si>
  <si>
    <t>deltaAICc</t>
  </si>
  <si>
    <t>AICcwt</t>
  </si>
  <si>
    <t>Use when sample sizes are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</si>
</sst>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3" formatCode="0.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2" fillId="0" borderId="1" xfId="0" applyFont="1" applyBorder="1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0" xfId="0" applyFont="1"/>
    <xf numFmtId="164" fontId="0" fillId="0" borderId="0" xfId="0" applyNumberFormat="1"/>
    <xf numFmtId="164" fontId="4" fillId="0" borderId="0" xfId="0" applyNumberFormat="1" applyFont="1"/>
    <xf numFmtId="11" fontId="4" fillId="0" borderId="0" xfId="0" applyNumberFormat="1" applyFont="1"/>
    <xf numFmtId="11" fontId="0" fillId="0" borderId="0" xfId="0" applyNumberFormat="1"/>
    <xf numFmtId="0" fontId="0" fillId="0" borderId="0" xfId="0" quotePrefix="1"/>
    <xf numFmtId="173" fontId="4" fillId="0" borderId="0" xfId="0" applyNumberFormat="1" applyFont="1"/>
    <xf numFmtId="173" fontId="0" fillId="0" borderId="0" xfId="0" applyNumberFormat="1"/>
    <xf numFmtId="0" fontId="2" fillId="0" borderId="0" xfId="0" applyFont="1"/>
    <xf numFmtId="0" fontId="3" fillId="0" borderId="0" xfId="0" applyFont="1" applyFill="1" applyBorder="1" applyAlignment="1">
      <alignment horizontal="center"/>
    </xf>
    <xf numFmtId="10" fontId="4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0EE9-A249-4547-99ED-A02E1FF6129A}">
  <dimension ref="A2:N105"/>
  <sheetViews>
    <sheetView tabSelected="1" topLeftCell="A70" zoomScale="200" zoomScaleNormal="200" workbookViewId="0">
      <selection activeCell="H97" sqref="H97"/>
    </sheetView>
  </sheetViews>
  <sheetFormatPr baseColWidth="10" defaultRowHeight="16" x14ac:dyDescent="0.2"/>
  <cols>
    <col min="1" max="1" width="16.1640625" customWidth="1"/>
    <col min="2" max="2" width="7.6640625" customWidth="1"/>
    <col min="3" max="3" width="3.83203125" customWidth="1"/>
    <col min="6" max="7" width="12.1640625" bestFit="1" customWidth="1"/>
  </cols>
  <sheetData>
    <row r="2" spans="1:7" ht="17" thickBot="1" x14ac:dyDescent="0.25"/>
    <row r="3" spans="1:7" ht="17" thickBo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">
      <c r="A4" t="s">
        <v>7</v>
      </c>
      <c r="B4">
        <v>-34.5</v>
      </c>
      <c r="C4">
        <v>2</v>
      </c>
      <c r="D4">
        <f>-2*(B4-C4)</f>
        <v>73</v>
      </c>
      <c r="E4">
        <f>D4-D$11</f>
        <v>25.200000000000003</v>
      </c>
      <c r="F4" s="3">
        <f>EXP(-0.5*E4)</f>
        <v>3.3720152341391786E-6</v>
      </c>
      <c r="G4" s="1">
        <f>F4/F$11</f>
        <v>1.4563873263122648E-6</v>
      </c>
    </row>
    <row r="5" spans="1:7" x14ac:dyDescent="0.2">
      <c r="A5" t="s">
        <v>8</v>
      </c>
      <c r="B5">
        <v>-20.9</v>
      </c>
      <c r="C5">
        <v>3</v>
      </c>
      <c r="D5">
        <f t="shared" ref="D5:D9" si="0">-2*(B5-C5)</f>
        <v>47.8</v>
      </c>
      <c r="E5">
        <f t="shared" ref="E5:E9" si="1">D5-D$11</f>
        <v>0</v>
      </c>
      <c r="F5" s="3">
        <f t="shared" ref="F5:F9" si="2">EXP(-0.5*E5)</f>
        <v>1</v>
      </c>
      <c r="G5" s="1">
        <f t="shared" ref="G5:G9" si="3">F5/F$11</f>
        <v>0.43190413600965155</v>
      </c>
    </row>
    <row r="6" spans="1:7" x14ac:dyDescent="0.2">
      <c r="A6" t="s">
        <v>9</v>
      </c>
      <c r="B6">
        <v>-33.5</v>
      </c>
      <c r="C6">
        <v>2</v>
      </c>
      <c r="D6">
        <f t="shared" si="0"/>
        <v>71</v>
      </c>
      <c r="E6">
        <f t="shared" si="1"/>
        <v>23.200000000000003</v>
      </c>
      <c r="F6" s="3">
        <f t="shared" si="2"/>
        <v>9.1660877362476019E-6</v>
      </c>
      <c r="G6" s="1">
        <f t="shared" si="3"/>
        <v>3.9588712043126835E-6</v>
      </c>
    </row>
    <row r="7" spans="1:7" x14ac:dyDescent="0.2">
      <c r="A7" t="s">
        <v>10</v>
      </c>
      <c r="B7">
        <v>-21.1</v>
      </c>
      <c r="C7">
        <v>3</v>
      </c>
      <c r="D7">
        <f t="shared" si="0"/>
        <v>48.2</v>
      </c>
      <c r="E7">
        <f t="shared" si="1"/>
        <v>0.40000000000000568</v>
      </c>
      <c r="F7" s="3">
        <f t="shared" si="2"/>
        <v>0.81873075307797949</v>
      </c>
      <c r="G7" s="1">
        <f t="shared" si="3"/>
        <v>0.35361319853267609</v>
      </c>
    </row>
    <row r="8" spans="1:7" x14ac:dyDescent="0.2">
      <c r="A8" t="s">
        <v>11</v>
      </c>
      <c r="B8">
        <v>-40.5</v>
      </c>
      <c r="C8">
        <v>2</v>
      </c>
      <c r="D8">
        <f t="shared" si="0"/>
        <v>85</v>
      </c>
      <c r="E8">
        <f t="shared" si="1"/>
        <v>37.200000000000003</v>
      </c>
      <c r="F8" s="3">
        <f t="shared" si="2"/>
        <v>8.3583901013746085E-9</v>
      </c>
      <c r="G8" s="1">
        <f t="shared" si="3"/>
        <v>3.6100232551658241E-9</v>
      </c>
    </row>
    <row r="9" spans="1:7" x14ac:dyDescent="0.2">
      <c r="A9" t="s">
        <v>12</v>
      </c>
      <c r="B9">
        <v>-21.6</v>
      </c>
      <c r="C9">
        <v>3</v>
      </c>
      <c r="D9">
        <f t="shared" si="0"/>
        <v>49.2</v>
      </c>
      <c r="E9">
        <f t="shared" si="1"/>
        <v>1.4000000000000057</v>
      </c>
      <c r="F9" s="3">
        <f t="shared" si="2"/>
        <v>0.49658530379140808</v>
      </c>
      <c r="G9" s="1">
        <f t="shared" si="3"/>
        <v>0.21447724658911846</v>
      </c>
    </row>
    <row r="11" spans="1:7" x14ac:dyDescent="0.2">
      <c r="B11" t="s">
        <v>13</v>
      </c>
      <c r="D11">
        <f>MIN(D4:D9)</f>
        <v>47.8</v>
      </c>
      <c r="E11" t="s">
        <v>14</v>
      </c>
      <c r="F11">
        <f>SUM(F4:F9)</f>
        <v>2.3153286033307481</v>
      </c>
      <c r="G11">
        <f>SUM(G4:G9)</f>
        <v>1</v>
      </c>
    </row>
    <row r="13" spans="1:7" ht="17" thickBot="1" x14ac:dyDescent="0.25"/>
    <row r="14" spans="1:7" ht="17" thickBot="1" x14ac:dyDescent="0.25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</row>
    <row r="15" spans="1:7" x14ac:dyDescent="0.2">
      <c r="A15" t="s">
        <v>15</v>
      </c>
      <c r="B15">
        <v>-31.4</v>
      </c>
      <c r="C15">
        <v>2</v>
      </c>
      <c r="D15">
        <f>-2*(B15-C15)</f>
        <v>66.8</v>
      </c>
      <c r="E15">
        <f>D15-D$22</f>
        <v>27.459999999999994</v>
      </c>
      <c r="F15" s="3">
        <f>EXP(-0.5*E15)</f>
        <v>1.0892730617894295E-6</v>
      </c>
      <c r="G15" s="1">
        <f>F15/F$11</f>
        <v>4.7046154063075136E-7</v>
      </c>
    </row>
    <row r="16" spans="1:7" x14ac:dyDescent="0.2">
      <c r="A16" t="s">
        <v>16</v>
      </c>
      <c r="B16">
        <v>-16.670000000000002</v>
      </c>
      <c r="C16">
        <v>3</v>
      </c>
      <c r="D16">
        <f t="shared" ref="D16:D20" si="4">-2*(B16-C16)</f>
        <v>39.340000000000003</v>
      </c>
      <c r="E16">
        <f t="shared" ref="E16:E20" si="5">D16-D$22</f>
        <v>0</v>
      </c>
      <c r="F16" s="3">
        <f t="shared" ref="F16:F20" si="6">EXP(-0.5*E16)</f>
        <v>1</v>
      </c>
      <c r="G16" s="1">
        <f t="shared" ref="G16:G20" si="7">F16/F$11</f>
        <v>0.43190413600965155</v>
      </c>
    </row>
    <row r="17" spans="1:9" x14ac:dyDescent="0.2">
      <c r="A17" t="s">
        <v>17</v>
      </c>
      <c r="B17">
        <v>-29.06</v>
      </c>
      <c r="C17">
        <v>2</v>
      </c>
      <c r="D17">
        <f t="shared" si="4"/>
        <v>62.12</v>
      </c>
      <c r="E17">
        <f t="shared" si="5"/>
        <v>22.779999999999994</v>
      </c>
      <c r="F17" s="3">
        <f t="shared" si="6"/>
        <v>1.1308001335847286E-5</v>
      </c>
      <c r="G17" s="1">
        <f t="shared" si="7"/>
        <v>4.8839725469551079E-6</v>
      </c>
    </row>
    <row r="18" spans="1:9" x14ac:dyDescent="0.2">
      <c r="A18" t="s">
        <v>18</v>
      </c>
      <c r="B18">
        <v>-16.88</v>
      </c>
      <c r="C18">
        <v>3</v>
      </c>
      <c r="D18">
        <f t="shared" si="4"/>
        <v>39.76</v>
      </c>
      <c r="E18">
        <f t="shared" si="5"/>
        <v>0.4199999999999946</v>
      </c>
      <c r="F18" s="3">
        <f t="shared" si="6"/>
        <v>0.8105842459701893</v>
      </c>
      <c r="G18" s="1">
        <f t="shared" si="7"/>
        <v>0.35009468841878949</v>
      </c>
    </row>
    <row r="19" spans="1:9" x14ac:dyDescent="0.2">
      <c r="A19" t="s">
        <v>19</v>
      </c>
      <c r="B19">
        <v>-40.229999999999997</v>
      </c>
      <c r="C19">
        <v>2</v>
      </c>
      <c r="D19">
        <f t="shared" si="4"/>
        <v>84.46</v>
      </c>
      <c r="E19">
        <f t="shared" si="5"/>
        <v>45.11999999999999</v>
      </c>
      <c r="F19" s="3">
        <f t="shared" si="6"/>
        <v>1.5933694579638052E-10</v>
      </c>
      <c r="G19" s="1">
        <f t="shared" si="7"/>
        <v>6.8818285908602404E-11</v>
      </c>
    </row>
    <row r="20" spans="1:9" x14ac:dyDescent="0.2">
      <c r="A20" t="s">
        <v>20</v>
      </c>
      <c r="B20">
        <v>-16.88</v>
      </c>
      <c r="C20">
        <v>3</v>
      </c>
      <c r="D20">
        <f t="shared" si="4"/>
        <v>39.76</v>
      </c>
      <c r="E20">
        <f t="shared" si="5"/>
        <v>0.4199999999999946</v>
      </c>
      <c r="F20" s="3">
        <f t="shared" si="6"/>
        <v>0.8105842459701893</v>
      </c>
      <c r="G20" s="1">
        <f t="shared" si="7"/>
        <v>0.35009468841878949</v>
      </c>
    </row>
    <row r="22" spans="1:9" x14ac:dyDescent="0.2">
      <c r="B22" t="s">
        <v>13</v>
      </c>
      <c r="D22">
        <f>MIN(D15:D20)</f>
        <v>39.340000000000003</v>
      </c>
      <c r="E22" t="s">
        <v>14</v>
      </c>
      <c r="F22">
        <f>SUM(F15:F20)</f>
        <v>2.6211808893741129</v>
      </c>
      <c r="G22">
        <f>SUM(G15:G20)</f>
        <v>1.1320988673501364</v>
      </c>
    </row>
    <row r="25" spans="1:9" x14ac:dyDescent="0.2">
      <c r="A25" t="s">
        <v>21</v>
      </c>
    </row>
    <row r="26" spans="1:9" ht="17" thickBot="1" x14ac:dyDescent="0.25"/>
    <row r="27" spans="1:9" ht="17" thickBot="1" x14ac:dyDescent="0.2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</row>
    <row r="28" spans="1:9" x14ac:dyDescent="0.2">
      <c r="A28" s="5" t="s">
        <v>7</v>
      </c>
      <c r="B28" s="5">
        <v>-34.5</v>
      </c>
      <c r="C28" s="5">
        <v>2</v>
      </c>
      <c r="D28" s="5">
        <v>73</v>
      </c>
      <c r="E28" s="5">
        <f>D28-D$40</f>
        <v>33.659999999999997</v>
      </c>
      <c r="F28" s="8">
        <f>EXP(-0.5*E28)</f>
        <v>4.9070882622402336E-8</v>
      </c>
      <c r="G28" s="7">
        <f>F28/F$40</f>
        <v>1.8483315669230956E-8</v>
      </c>
    </row>
    <row r="29" spans="1:9" x14ac:dyDescent="0.2">
      <c r="A29" s="5" t="s">
        <v>8</v>
      </c>
      <c r="B29" s="5">
        <v>-20.9</v>
      </c>
      <c r="C29" s="5">
        <v>3</v>
      </c>
      <c r="D29" s="5">
        <v>47.8</v>
      </c>
      <c r="E29" s="5">
        <f t="shared" ref="E29:E39" si="8">D29-D$40</f>
        <v>8.4599999999999937</v>
      </c>
      <c r="F29" s="8">
        <f t="shared" ref="F29:F39" si="9">EXP(-0.5*E29)</f>
        <v>1.4552390548416175E-2</v>
      </c>
      <c r="G29" s="7">
        <f t="shared" ref="G29:G39" si="10">F29/F$40</f>
        <v>5.481385576820934E-3</v>
      </c>
      <c r="H29" s="10" t="s">
        <v>22</v>
      </c>
      <c r="I29" t="s">
        <v>23</v>
      </c>
    </row>
    <row r="30" spans="1:9" x14ac:dyDescent="0.2">
      <c r="A30" s="5" t="s">
        <v>9</v>
      </c>
      <c r="B30" s="5">
        <v>-33.5</v>
      </c>
      <c r="C30" s="5">
        <v>2</v>
      </c>
      <c r="D30" s="5">
        <v>71</v>
      </c>
      <c r="E30" s="5">
        <f t="shared" si="8"/>
        <v>31.659999999999997</v>
      </c>
      <c r="F30" s="8">
        <f t="shared" si="9"/>
        <v>1.3338848853892302E-7</v>
      </c>
      <c r="G30" s="7">
        <f t="shared" si="10"/>
        <v>5.0242861113342849E-8</v>
      </c>
    </row>
    <row r="31" spans="1:9" x14ac:dyDescent="0.2">
      <c r="A31" s="5" t="s">
        <v>10</v>
      </c>
      <c r="B31" s="5">
        <v>-21.1</v>
      </c>
      <c r="C31" s="5">
        <v>3</v>
      </c>
      <c r="D31" s="5">
        <v>48.2</v>
      </c>
      <c r="E31" s="5">
        <f t="shared" si="8"/>
        <v>8.86</v>
      </c>
      <c r="F31" s="8">
        <f t="shared" si="9"/>
        <v>1.1914489672789647E-2</v>
      </c>
      <c r="G31" s="7">
        <f t="shared" si="10"/>
        <v>4.487778941221379E-3</v>
      </c>
      <c r="H31" s="10" t="s">
        <v>22</v>
      </c>
      <c r="I31" t="s">
        <v>24</v>
      </c>
    </row>
    <row r="32" spans="1:9" x14ac:dyDescent="0.2">
      <c r="A32" s="5" t="s">
        <v>11</v>
      </c>
      <c r="B32" s="5">
        <v>-40.5</v>
      </c>
      <c r="C32" s="5">
        <v>2</v>
      </c>
      <c r="D32" s="5">
        <v>85</v>
      </c>
      <c r="E32" s="5">
        <f t="shared" si="8"/>
        <v>45.66</v>
      </c>
      <c r="F32" s="8">
        <f t="shared" si="9"/>
        <v>1.2163455711121917E-10</v>
      </c>
      <c r="G32" s="7">
        <f t="shared" si="10"/>
        <v>4.5815558947117644E-11</v>
      </c>
      <c r="I32" t="s">
        <v>25</v>
      </c>
    </row>
    <row r="33" spans="1:9" x14ac:dyDescent="0.2">
      <c r="A33" s="5" t="s">
        <v>12</v>
      </c>
      <c r="B33" s="5">
        <v>-21.6</v>
      </c>
      <c r="C33" s="5">
        <v>3</v>
      </c>
      <c r="D33" s="5">
        <v>49.2</v>
      </c>
      <c r="E33" s="5">
        <f t="shared" si="8"/>
        <v>9.86</v>
      </c>
      <c r="F33" s="8">
        <f t="shared" si="9"/>
        <v>7.2265032813764625E-3</v>
      </c>
      <c r="G33" s="7">
        <f t="shared" si="10"/>
        <v>2.7219755218634662E-3</v>
      </c>
      <c r="H33" s="10" t="s">
        <v>22</v>
      </c>
    </row>
    <row r="34" spans="1:9" x14ac:dyDescent="0.2">
      <c r="A34" t="s">
        <v>15</v>
      </c>
      <c r="B34">
        <v>-31.4</v>
      </c>
      <c r="C34">
        <v>2</v>
      </c>
      <c r="D34">
        <f>-2*(B34-C34)</f>
        <v>66.8</v>
      </c>
      <c r="E34" s="5">
        <f t="shared" si="8"/>
        <v>27.459999999999994</v>
      </c>
      <c r="F34" s="8">
        <f t="shared" si="9"/>
        <v>1.0892730617894295E-6</v>
      </c>
      <c r="G34" s="7">
        <f t="shared" si="10"/>
        <v>4.1029174074509615E-7</v>
      </c>
      <c r="I34" t="s">
        <v>26</v>
      </c>
    </row>
    <row r="35" spans="1:9" x14ac:dyDescent="0.2">
      <c r="A35" t="s">
        <v>16</v>
      </c>
      <c r="B35">
        <v>-16.670000000000002</v>
      </c>
      <c r="C35">
        <v>3</v>
      </c>
      <c r="D35">
        <f t="shared" ref="D35:D39" si="11">-2*(B35-C35)</f>
        <v>39.340000000000003</v>
      </c>
      <c r="E35" s="5">
        <f t="shared" si="8"/>
        <v>0</v>
      </c>
      <c r="F35" s="8">
        <f t="shared" si="9"/>
        <v>1</v>
      </c>
      <c r="G35" s="7">
        <f t="shared" si="10"/>
        <v>0.37666564531677627</v>
      </c>
      <c r="H35" s="10" t="s">
        <v>22</v>
      </c>
      <c r="I35" t="s">
        <v>27</v>
      </c>
    </row>
    <row r="36" spans="1:9" x14ac:dyDescent="0.2">
      <c r="A36" t="s">
        <v>17</v>
      </c>
      <c r="B36">
        <v>-29.06</v>
      </c>
      <c r="C36">
        <v>2</v>
      </c>
      <c r="D36">
        <f t="shared" si="11"/>
        <v>62.12</v>
      </c>
      <c r="E36" s="5">
        <f t="shared" si="8"/>
        <v>22.779999999999994</v>
      </c>
      <c r="F36" s="8">
        <f t="shared" si="9"/>
        <v>1.1308001335847286E-5</v>
      </c>
      <c r="G36" s="7">
        <f t="shared" si="10"/>
        <v>4.2593356204098861E-6</v>
      </c>
      <c r="I36" t="s">
        <v>28</v>
      </c>
    </row>
    <row r="37" spans="1:9" x14ac:dyDescent="0.2">
      <c r="A37" t="s">
        <v>18</v>
      </c>
      <c r="B37">
        <v>-16.88</v>
      </c>
      <c r="C37">
        <v>3</v>
      </c>
      <c r="D37">
        <f t="shared" si="11"/>
        <v>39.76</v>
      </c>
      <c r="E37" s="5">
        <f t="shared" si="8"/>
        <v>0.4199999999999946</v>
      </c>
      <c r="F37" s="8">
        <f t="shared" si="9"/>
        <v>0.8105842459701893</v>
      </c>
      <c r="G37" s="7">
        <f t="shared" si="10"/>
        <v>0.30531923809197387</v>
      </c>
      <c r="H37" s="10" t="s">
        <v>22</v>
      </c>
    </row>
    <row r="38" spans="1:9" x14ac:dyDescent="0.2">
      <c r="A38" t="s">
        <v>19</v>
      </c>
      <c r="B38">
        <v>-40.229999999999997</v>
      </c>
      <c r="C38">
        <v>2</v>
      </c>
      <c r="D38">
        <f t="shared" si="11"/>
        <v>84.46</v>
      </c>
      <c r="E38" s="5">
        <f t="shared" si="8"/>
        <v>45.11999999999999</v>
      </c>
      <c r="F38" s="8">
        <f t="shared" si="9"/>
        <v>1.5933694579638052E-10</v>
      </c>
      <c r="G38" s="7">
        <f t="shared" si="10"/>
        <v>6.0016753511197873E-11</v>
      </c>
    </row>
    <row r="39" spans="1:9" x14ac:dyDescent="0.2">
      <c r="A39" t="s">
        <v>20</v>
      </c>
      <c r="B39">
        <v>-16.88</v>
      </c>
      <c r="C39">
        <v>3</v>
      </c>
      <c r="D39">
        <f t="shared" si="11"/>
        <v>39.76</v>
      </c>
      <c r="E39" s="5">
        <f t="shared" si="8"/>
        <v>0.4199999999999946</v>
      </c>
      <c r="F39" s="8">
        <f t="shared" si="9"/>
        <v>0.8105842459701893</v>
      </c>
      <c r="G39" s="7">
        <f t="shared" si="10"/>
        <v>0.30531923809197387</v>
      </c>
      <c r="H39" s="10" t="s">
        <v>22</v>
      </c>
    </row>
    <row r="40" spans="1:9" x14ac:dyDescent="0.2">
      <c r="B40" t="s">
        <v>13</v>
      </c>
      <c r="D40">
        <f>MIN(D28:D39)</f>
        <v>39.340000000000003</v>
      </c>
      <c r="E40" t="s">
        <v>14</v>
      </c>
      <c r="F40" s="9">
        <f>SUM(F28:F39)</f>
        <v>2.6548744554577013</v>
      </c>
      <c r="G40" s="6">
        <f>SUM(G28:G39)</f>
        <v>1</v>
      </c>
    </row>
    <row r="43" spans="1:9" x14ac:dyDescent="0.2">
      <c r="A43" s="13" t="s">
        <v>42</v>
      </c>
    </row>
    <row r="44" spans="1:9" x14ac:dyDescent="0.2">
      <c r="A44" t="s">
        <v>29</v>
      </c>
    </row>
    <row r="45" spans="1:9" ht="17" thickBot="1" x14ac:dyDescent="0.25"/>
    <row r="46" spans="1:9" ht="17" thickBot="1" x14ac:dyDescent="0.25">
      <c r="A46" s="4" t="s">
        <v>0</v>
      </c>
      <c r="B46" s="4" t="s">
        <v>1</v>
      </c>
      <c r="C46" s="4" t="s">
        <v>2</v>
      </c>
      <c r="D46" s="4" t="s">
        <v>3</v>
      </c>
      <c r="E46" s="4" t="s">
        <v>4</v>
      </c>
      <c r="F46" s="4" t="s">
        <v>5</v>
      </c>
      <c r="G46" s="4" t="s">
        <v>6</v>
      </c>
    </row>
    <row r="47" spans="1:9" x14ac:dyDescent="0.2">
      <c r="A47" s="5" t="s">
        <v>7</v>
      </c>
      <c r="B47" s="5">
        <v>-34.5</v>
      </c>
      <c r="C47" s="5">
        <v>2</v>
      </c>
      <c r="D47" s="5">
        <v>73</v>
      </c>
      <c r="E47" s="5">
        <f>D47-D$72</f>
        <v>33.659999999999997</v>
      </c>
      <c r="F47" s="11">
        <f>EXP(-0.5*E47)</f>
        <v>4.9070882622402336E-8</v>
      </c>
      <c r="G47" s="15">
        <f>F47/F$72</f>
        <v>1.2284928493641877E-8</v>
      </c>
    </row>
    <row r="48" spans="1:9" x14ac:dyDescent="0.2">
      <c r="A48" s="5" t="s">
        <v>8</v>
      </c>
      <c r="B48" s="5">
        <v>-20.9</v>
      </c>
      <c r="C48" s="5">
        <v>3</v>
      </c>
      <c r="D48" s="5">
        <v>47.8</v>
      </c>
      <c r="E48" s="5">
        <f t="shared" ref="E48:E70" si="12">D48-D$72</f>
        <v>8.4599999999999937</v>
      </c>
      <c r="F48" s="11">
        <f t="shared" ref="F48:F70" si="13">EXP(-0.5*E48)</f>
        <v>1.4552390548416175E-2</v>
      </c>
      <c r="G48" s="15">
        <f t="shared" ref="G48:G70" si="14">F48/F$72</f>
        <v>3.6432007688654536E-3</v>
      </c>
    </row>
    <row r="49" spans="1:13" x14ac:dyDescent="0.2">
      <c r="A49" s="5" t="s">
        <v>9</v>
      </c>
      <c r="B49" s="5">
        <v>-33.5</v>
      </c>
      <c r="C49" s="5">
        <v>2</v>
      </c>
      <c r="D49" s="5">
        <v>71</v>
      </c>
      <c r="E49" s="5">
        <f t="shared" si="12"/>
        <v>31.659999999999997</v>
      </c>
      <c r="F49" s="11">
        <f t="shared" si="13"/>
        <v>1.3338848853892302E-7</v>
      </c>
      <c r="G49" s="15">
        <f t="shared" si="14"/>
        <v>3.3393897888185472E-8</v>
      </c>
    </row>
    <row r="50" spans="1:13" x14ac:dyDescent="0.2">
      <c r="A50" s="5" t="s">
        <v>10</v>
      </c>
      <c r="B50" s="5">
        <v>-21.1</v>
      </c>
      <c r="C50" s="5">
        <v>3</v>
      </c>
      <c r="D50" s="5">
        <v>48.2</v>
      </c>
      <c r="E50" s="5">
        <f t="shared" si="12"/>
        <v>8.86</v>
      </c>
      <c r="F50" s="11">
        <f t="shared" si="13"/>
        <v>1.1914489672789647E-2</v>
      </c>
      <c r="G50" s="15">
        <f t="shared" si="14"/>
        <v>2.9828005091074869E-3</v>
      </c>
    </row>
    <row r="51" spans="1:13" x14ac:dyDescent="0.2">
      <c r="A51" s="5" t="s">
        <v>11</v>
      </c>
      <c r="B51" s="5">
        <v>-40.5</v>
      </c>
      <c r="C51" s="5">
        <v>2</v>
      </c>
      <c r="D51" s="5">
        <v>85</v>
      </c>
      <c r="E51" s="5">
        <f t="shared" si="12"/>
        <v>45.66</v>
      </c>
      <c r="F51" s="11">
        <f t="shared" si="13"/>
        <v>1.2163455711121917E-10</v>
      </c>
      <c r="G51" s="15">
        <f t="shared" si="14"/>
        <v>3.0451293243805371E-11</v>
      </c>
    </row>
    <row r="52" spans="1:13" x14ac:dyDescent="0.2">
      <c r="A52" s="5" t="s">
        <v>12</v>
      </c>
      <c r="B52" s="5">
        <v>-21.6</v>
      </c>
      <c r="C52" s="5">
        <v>3</v>
      </c>
      <c r="D52" s="5">
        <v>49.2</v>
      </c>
      <c r="E52" s="5">
        <f t="shared" si="12"/>
        <v>9.86</v>
      </c>
      <c r="F52" s="11">
        <f t="shared" si="13"/>
        <v>7.2265032813764625E-3</v>
      </c>
      <c r="G52" s="15">
        <f t="shared" si="14"/>
        <v>1.8091599605801428E-3</v>
      </c>
    </row>
    <row r="53" spans="1:13" x14ac:dyDescent="0.2">
      <c r="A53" s="5" t="s">
        <v>15</v>
      </c>
      <c r="B53" s="5">
        <v>-31.4</v>
      </c>
      <c r="C53" s="5">
        <v>2</v>
      </c>
      <c r="D53" s="5">
        <v>66.8</v>
      </c>
      <c r="E53" s="5">
        <f t="shared" si="12"/>
        <v>27.459999999999994</v>
      </c>
      <c r="F53" s="11">
        <f t="shared" si="13"/>
        <v>1.0892730617894295E-6</v>
      </c>
      <c r="G53" s="15">
        <f t="shared" si="14"/>
        <v>2.7270024419785693E-7</v>
      </c>
    </row>
    <row r="54" spans="1:13" x14ac:dyDescent="0.2">
      <c r="A54" s="5" t="s">
        <v>16</v>
      </c>
      <c r="B54" s="5">
        <v>-16.7</v>
      </c>
      <c r="C54" s="5">
        <v>3</v>
      </c>
      <c r="D54" s="5">
        <v>39.340000000000003</v>
      </c>
      <c r="E54" s="5">
        <f t="shared" si="12"/>
        <v>0</v>
      </c>
      <c r="F54" s="11">
        <f t="shared" si="13"/>
        <v>1</v>
      </c>
      <c r="G54" s="15">
        <f t="shared" si="14"/>
        <v>0.25035067309006254</v>
      </c>
    </row>
    <row r="55" spans="1:13" x14ac:dyDescent="0.2">
      <c r="A55" s="5" t="s">
        <v>17</v>
      </c>
      <c r="B55" s="5">
        <v>-29.1</v>
      </c>
      <c r="C55" s="5">
        <v>2</v>
      </c>
      <c r="D55" s="5">
        <v>62.12</v>
      </c>
      <c r="E55" s="5">
        <f t="shared" si="12"/>
        <v>22.779999999999994</v>
      </c>
      <c r="F55" s="11">
        <f t="shared" si="13"/>
        <v>1.1308001335847286E-5</v>
      </c>
      <c r="G55" s="15">
        <f t="shared" si="14"/>
        <v>2.8309657457326943E-6</v>
      </c>
    </row>
    <row r="56" spans="1:13" x14ac:dyDescent="0.2">
      <c r="A56" s="5" t="s">
        <v>18</v>
      </c>
      <c r="B56" s="5">
        <v>-16.899999999999999</v>
      </c>
      <c r="C56" s="5">
        <v>3</v>
      </c>
      <c r="D56" s="5">
        <v>39.76</v>
      </c>
      <c r="E56" s="5">
        <f t="shared" si="12"/>
        <v>0.4199999999999946</v>
      </c>
      <c r="F56" s="11">
        <f t="shared" si="13"/>
        <v>0.8105842459701893</v>
      </c>
      <c r="G56" s="15">
        <f t="shared" si="14"/>
        <v>0.20293031157483771</v>
      </c>
    </row>
    <row r="57" spans="1:13" x14ac:dyDescent="0.2">
      <c r="A57" s="5" t="s">
        <v>19</v>
      </c>
      <c r="B57" s="5">
        <v>-40.200000000000003</v>
      </c>
      <c r="C57" s="5">
        <v>2</v>
      </c>
      <c r="D57" s="5">
        <v>84.46</v>
      </c>
      <c r="E57" s="5">
        <f t="shared" si="12"/>
        <v>45.11999999999999</v>
      </c>
      <c r="F57" s="11">
        <f t="shared" si="13"/>
        <v>1.5933694579638052E-10</v>
      </c>
      <c r="G57" s="15">
        <f t="shared" si="14"/>
        <v>3.989011162823867E-11</v>
      </c>
    </row>
    <row r="58" spans="1:13" x14ac:dyDescent="0.2">
      <c r="A58" s="5" t="s">
        <v>20</v>
      </c>
      <c r="B58" s="5">
        <v>-16.899999999999999</v>
      </c>
      <c r="C58" s="5">
        <v>3</v>
      </c>
      <c r="D58" s="5">
        <v>39.76</v>
      </c>
      <c r="E58" s="5">
        <f t="shared" si="12"/>
        <v>0.4199999999999946</v>
      </c>
      <c r="F58" s="11">
        <f t="shared" si="13"/>
        <v>0.8105842459701893</v>
      </c>
      <c r="G58" s="15">
        <f t="shared" si="14"/>
        <v>0.20293031157483771</v>
      </c>
    </row>
    <row r="59" spans="1:13" x14ac:dyDescent="0.2">
      <c r="A59" t="s">
        <v>30</v>
      </c>
      <c r="B59">
        <v>-31.41</v>
      </c>
      <c r="C59">
        <v>3</v>
      </c>
      <c r="D59">
        <f>-2*(B59-C59)</f>
        <v>68.819999999999993</v>
      </c>
      <c r="E59" s="5">
        <f t="shared" si="12"/>
        <v>29.47999999999999</v>
      </c>
      <c r="F59" s="11">
        <f t="shared" si="13"/>
        <v>3.9673392303969564E-7</v>
      </c>
      <c r="G59" s="15">
        <f t="shared" si="14"/>
        <v>9.9322604670648873E-8</v>
      </c>
      <c r="H59">
        <v>0.11</v>
      </c>
      <c r="I59">
        <v>8.6999999999999994E-3</v>
      </c>
      <c r="J59">
        <v>0</v>
      </c>
      <c r="K59">
        <v>4.24</v>
      </c>
      <c r="L59">
        <v>68.83</v>
      </c>
      <c r="M59" s="9">
        <v>4.0999999999999999E-7</v>
      </c>
    </row>
    <row r="60" spans="1:13" x14ac:dyDescent="0.2">
      <c r="A60" t="s">
        <v>31</v>
      </c>
      <c r="B60">
        <v>-16.670000000000002</v>
      </c>
      <c r="C60">
        <v>4</v>
      </c>
      <c r="D60">
        <f t="shared" ref="D60:D70" si="15">-2*(B60-C60)</f>
        <v>41.34</v>
      </c>
      <c r="E60" s="5">
        <f t="shared" si="12"/>
        <v>2</v>
      </c>
      <c r="F60" s="11">
        <f t="shared" si="13"/>
        <v>0.36787944117144233</v>
      </c>
      <c r="G60" s="15">
        <f t="shared" si="14"/>
        <v>9.2098865713266656E-2</v>
      </c>
      <c r="H60" s="9">
        <v>9.9999999999999998E-13</v>
      </c>
      <c r="I60" s="9">
        <v>9.9999999999999998E-13</v>
      </c>
      <c r="J60">
        <v>0.28000000000000003</v>
      </c>
      <c r="K60">
        <v>6.01</v>
      </c>
      <c r="L60">
        <v>41.35</v>
      </c>
      <c r="M60">
        <v>0.38</v>
      </c>
    </row>
    <row r="61" spans="1:13" x14ac:dyDescent="0.2">
      <c r="A61" t="s">
        <v>32</v>
      </c>
      <c r="B61">
        <v>-29.06</v>
      </c>
      <c r="C61">
        <v>3</v>
      </c>
      <c r="D61">
        <f t="shared" si="15"/>
        <v>64.12</v>
      </c>
      <c r="E61" s="5">
        <f t="shared" si="12"/>
        <v>24.78</v>
      </c>
      <c r="F61" s="11">
        <f t="shared" si="13"/>
        <v>4.1599812121974087E-6</v>
      </c>
      <c r="G61" s="15">
        <f t="shared" si="14"/>
        <v>1.0414540965156356E-6</v>
      </c>
      <c r="H61">
        <v>0.14000000000000001</v>
      </c>
      <c r="I61" s="9">
        <v>9.9999999999999998E-13</v>
      </c>
      <c r="J61">
        <v>0</v>
      </c>
      <c r="K61">
        <v>5.91</v>
      </c>
      <c r="L61">
        <v>64.13</v>
      </c>
      <c r="M61" s="9">
        <v>4.3000000000000003E-6</v>
      </c>
    </row>
    <row r="62" spans="1:13" x14ac:dyDescent="0.2">
      <c r="A62" t="s">
        <v>33</v>
      </c>
      <c r="B62">
        <v>-16.88</v>
      </c>
      <c r="C62">
        <v>4</v>
      </c>
      <c r="D62">
        <f t="shared" si="15"/>
        <v>41.76</v>
      </c>
      <c r="E62" s="5">
        <f t="shared" si="12"/>
        <v>2.4199999999999946</v>
      </c>
      <c r="F62" s="11">
        <f t="shared" si="13"/>
        <v>0.29819727942988816</v>
      </c>
      <c r="G62" s="15">
        <f t="shared" si="14"/>
        <v>7.4653889618897962E-2</v>
      </c>
      <c r="H62" s="9">
        <v>9.9999999999999998E-13</v>
      </c>
      <c r="I62" s="9">
        <v>9.9999999999999998E-13</v>
      </c>
      <c r="J62">
        <v>0.28000000000000003</v>
      </c>
      <c r="K62">
        <v>8.56</v>
      </c>
      <c r="L62">
        <v>41.76</v>
      </c>
      <c r="M62">
        <v>0.31</v>
      </c>
    </row>
    <row r="63" spans="1:13" x14ac:dyDescent="0.2">
      <c r="A63" t="s">
        <v>34</v>
      </c>
      <c r="B63">
        <v>-39.700000000000003</v>
      </c>
      <c r="C63">
        <v>3</v>
      </c>
      <c r="D63">
        <f t="shared" si="15"/>
        <v>85.4</v>
      </c>
      <c r="E63" s="5">
        <f t="shared" si="12"/>
        <v>46.06</v>
      </c>
      <c r="F63" s="11">
        <f t="shared" si="13"/>
        <v>9.9585952543974978E-11</v>
      </c>
      <c r="G63" s="15">
        <f t="shared" si="14"/>
        <v>2.4931410249699161E-11</v>
      </c>
      <c r="H63">
        <v>7.4999999999999997E-2</v>
      </c>
      <c r="I63">
        <v>0.3</v>
      </c>
      <c r="J63">
        <v>0</v>
      </c>
      <c r="K63">
        <v>5.94</v>
      </c>
      <c r="L63">
        <v>85.4</v>
      </c>
      <c r="M63" s="9">
        <v>1E-10</v>
      </c>
    </row>
    <row r="64" spans="1:13" x14ac:dyDescent="0.2">
      <c r="A64" t="s">
        <v>35</v>
      </c>
      <c r="B64">
        <v>-16.88</v>
      </c>
      <c r="C64">
        <v>4</v>
      </c>
      <c r="D64">
        <f t="shared" si="15"/>
        <v>41.76</v>
      </c>
      <c r="E64" s="5">
        <f t="shared" si="12"/>
        <v>2.4199999999999946</v>
      </c>
      <c r="F64" s="11">
        <f t="shared" si="13"/>
        <v>0.29819727942988816</v>
      </c>
      <c r="G64" s="15">
        <f t="shared" si="14"/>
        <v>7.4653889618897962E-2</v>
      </c>
      <c r="H64" s="9">
        <v>9.9999999999999995E-8</v>
      </c>
      <c r="I64" s="9">
        <v>9.9999999999999995E-8</v>
      </c>
      <c r="J64">
        <v>0.24</v>
      </c>
      <c r="K64">
        <v>4.1500000000000004</v>
      </c>
      <c r="L64">
        <v>41.76</v>
      </c>
      <c r="M64">
        <v>0.31</v>
      </c>
    </row>
    <row r="65" spans="1:14" x14ac:dyDescent="0.2">
      <c r="A65" t="s">
        <v>36</v>
      </c>
      <c r="B65">
        <v>-31.42</v>
      </c>
      <c r="C65">
        <v>4</v>
      </c>
      <c r="D65">
        <f t="shared" si="15"/>
        <v>70.84</v>
      </c>
      <c r="E65" s="5">
        <f t="shared" si="12"/>
        <v>31.5</v>
      </c>
      <c r="F65" s="11">
        <f t="shared" si="13"/>
        <v>1.4449802461092448E-7</v>
      </c>
      <c r="G65" s="15">
        <f t="shared" si="14"/>
        <v>3.6175177721529364E-8</v>
      </c>
      <c r="H65">
        <v>0.12</v>
      </c>
      <c r="I65">
        <v>9.1999999999999998E-3</v>
      </c>
      <c r="J65">
        <v>0</v>
      </c>
      <c r="K65">
        <v>4.5999999999999999E-2</v>
      </c>
      <c r="L65">
        <v>4.13</v>
      </c>
      <c r="M65">
        <v>73.69</v>
      </c>
      <c r="N65" s="9">
        <v>9.2999999999999999E-7</v>
      </c>
    </row>
    <row r="66" spans="1:14" x14ac:dyDescent="0.2">
      <c r="A66" t="s">
        <v>37</v>
      </c>
      <c r="B66">
        <v>-16.62</v>
      </c>
      <c r="C66">
        <v>5</v>
      </c>
      <c r="D66">
        <f t="shared" si="15"/>
        <v>43.24</v>
      </c>
      <c r="E66" s="5">
        <f t="shared" si="12"/>
        <v>3.8999999999999986</v>
      </c>
      <c r="F66" s="11">
        <f t="shared" si="13"/>
        <v>0.14227407158651367</v>
      </c>
      <c r="G66" s="15">
        <f t="shared" si="14"/>
        <v>3.5618409584947441E-2</v>
      </c>
      <c r="H66" s="9">
        <v>9.9999999999999998E-13</v>
      </c>
      <c r="I66" s="9">
        <v>9.9999999999999998E-13</v>
      </c>
      <c r="J66">
        <v>0.18</v>
      </c>
      <c r="K66">
        <v>-0.4</v>
      </c>
      <c r="L66">
        <v>7.33</v>
      </c>
      <c r="M66">
        <v>47.85</v>
      </c>
      <c r="N66">
        <v>0.38</v>
      </c>
    </row>
    <row r="67" spans="1:14" x14ac:dyDescent="0.2">
      <c r="A67" t="s">
        <v>38</v>
      </c>
      <c r="B67">
        <v>-29.05</v>
      </c>
      <c r="C67">
        <v>4</v>
      </c>
      <c r="D67">
        <f t="shared" si="15"/>
        <v>66.099999999999994</v>
      </c>
      <c r="E67" s="5">
        <f t="shared" si="12"/>
        <v>26.759999999999991</v>
      </c>
      <c r="F67" s="11">
        <f t="shared" si="13"/>
        <v>1.5457520535421995E-6</v>
      </c>
      <c r="G67" s="15">
        <f t="shared" si="14"/>
        <v>3.8698006703463599E-7</v>
      </c>
      <c r="H67">
        <v>0.11</v>
      </c>
      <c r="I67" s="9">
        <v>9.9999999999999998E-13</v>
      </c>
      <c r="J67">
        <v>0</v>
      </c>
      <c r="K67">
        <v>-0.17</v>
      </c>
      <c r="L67">
        <v>7.19</v>
      </c>
      <c r="M67">
        <v>68.959999999999994</v>
      </c>
      <c r="N67" s="9">
        <v>9.9000000000000001E-6</v>
      </c>
    </row>
    <row r="68" spans="1:14" x14ac:dyDescent="0.2">
      <c r="A68" t="s">
        <v>39</v>
      </c>
      <c r="B68">
        <v>-16.82</v>
      </c>
      <c r="C68">
        <v>5</v>
      </c>
      <c r="D68">
        <f t="shared" si="15"/>
        <v>43.64</v>
      </c>
      <c r="E68" s="5">
        <f t="shared" si="12"/>
        <v>4.2999999999999972</v>
      </c>
      <c r="F68" s="11">
        <f t="shared" si="13"/>
        <v>0.11648415777349712</v>
      </c>
      <c r="G68" s="15">
        <f t="shared" si="14"/>
        <v>2.9161887302924044E-2</v>
      </c>
      <c r="H68" s="9">
        <v>9.9999999999999998E-13</v>
      </c>
      <c r="I68" s="9">
        <v>9.9999999999999998E-13</v>
      </c>
      <c r="J68">
        <v>0.14000000000000001</v>
      </c>
      <c r="K68">
        <v>-0.54</v>
      </c>
      <c r="L68">
        <v>3.98</v>
      </c>
      <c r="M68">
        <v>48.26</v>
      </c>
      <c r="N68">
        <v>0.31</v>
      </c>
    </row>
    <row r="69" spans="1:14" x14ac:dyDescent="0.2">
      <c r="A69" t="s">
        <v>40</v>
      </c>
      <c r="B69">
        <v>-39.86</v>
      </c>
      <c r="C69">
        <v>4</v>
      </c>
      <c r="D69">
        <f t="shared" si="15"/>
        <v>87.72</v>
      </c>
      <c r="E69" s="5">
        <f t="shared" si="12"/>
        <v>48.379999999999995</v>
      </c>
      <c r="F69" s="11">
        <f t="shared" si="13"/>
        <v>3.1218819932567196E-11</v>
      </c>
      <c r="G69" s="15">
        <f t="shared" si="14"/>
        <v>7.8156525831956574E-12</v>
      </c>
      <c r="H69">
        <v>0.67</v>
      </c>
      <c r="I69">
        <v>0.3</v>
      </c>
      <c r="J69">
        <v>0</v>
      </c>
      <c r="K69">
        <v>1.48</v>
      </c>
      <c r="L69">
        <v>3.15</v>
      </c>
      <c r="M69">
        <v>90.59</v>
      </c>
      <c r="N69" s="9">
        <v>2.0000000000000001E-10</v>
      </c>
    </row>
    <row r="70" spans="1:14" x14ac:dyDescent="0.2">
      <c r="A70" t="s">
        <v>41</v>
      </c>
      <c r="B70">
        <v>-16.82</v>
      </c>
      <c r="C70">
        <v>5</v>
      </c>
      <c r="D70">
        <f t="shared" si="15"/>
        <v>43.64</v>
      </c>
      <c r="E70" s="5">
        <f t="shared" si="12"/>
        <v>4.2999999999999972</v>
      </c>
      <c r="F70" s="11">
        <f t="shared" si="13"/>
        <v>0.11648415777349712</v>
      </c>
      <c r="G70" s="15">
        <f t="shared" si="14"/>
        <v>2.9161887302924044E-2</v>
      </c>
      <c r="H70" s="9">
        <v>9.9999999999999995E-8</v>
      </c>
      <c r="I70" s="9">
        <v>9.9999999999999995E-8</v>
      </c>
      <c r="J70">
        <v>0.11</v>
      </c>
      <c r="K70">
        <v>-0.71</v>
      </c>
      <c r="L70">
        <v>7.71</v>
      </c>
      <c r="M70">
        <v>48.25</v>
      </c>
      <c r="N70">
        <v>0.31</v>
      </c>
    </row>
    <row r="71" spans="1:14" x14ac:dyDescent="0.2">
      <c r="F71" s="12"/>
    </row>
    <row r="72" spans="1:14" x14ac:dyDescent="0.2">
      <c r="D72">
        <f>MIN(D47:D70)</f>
        <v>39.340000000000003</v>
      </c>
      <c r="F72" s="12">
        <f>SUM(F47:F70)</f>
        <v>3.9943970897184466</v>
      </c>
    </row>
    <row r="75" spans="1:14" x14ac:dyDescent="0.2">
      <c r="A75" s="13" t="s">
        <v>43</v>
      </c>
    </row>
    <row r="76" spans="1:14" x14ac:dyDescent="0.2">
      <c r="A76" s="13" t="s">
        <v>49</v>
      </c>
    </row>
    <row r="77" spans="1:14" x14ac:dyDescent="0.2">
      <c r="A77" t="s">
        <v>29</v>
      </c>
      <c r="D77" t="s">
        <v>44</v>
      </c>
    </row>
    <row r="78" spans="1:14" ht="17" thickBot="1" x14ac:dyDescent="0.25"/>
    <row r="79" spans="1:14" ht="17" thickBot="1" x14ac:dyDescent="0.25">
      <c r="A79" s="4" t="s">
        <v>0</v>
      </c>
      <c r="B79" s="4" t="s">
        <v>1</v>
      </c>
      <c r="C79" s="4" t="s">
        <v>2</v>
      </c>
      <c r="D79" s="4" t="s">
        <v>45</v>
      </c>
      <c r="E79" s="4" t="s">
        <v>47</v>
      </c>
      <c r="F79" s="4" t="s">
        <v>5</v>
      </c>
      <c r="G79" s="4" t="s">
        <v>48</v>
      </c>
      <c r="H79" s="14" t="s">
        <v>46</v>
      </c>
    </row>
    <row r="80" spans="1:14" x14ac:dyDescent="0.2">
      <c r="A80" s="5" t="s">
        <v>7</v>
      </c>
      <c r="B80" s="5">
        <v>-34.5</v>
      </c>
      <c r="C80" s="5">
        <v>2</v>
      </c>
      <c r="D80" s="5">
        <f>-2*(B80)+2*(C80*(H80/(H80-C80-1)))</f>
        <v>73.75</v>
      </c>
      <c r="E80" s="5">
        <f>D80-D$105</f>
        <v>32.75</v>
      </c>
      <c r="F80" s="11">
        <f>EXP(-0.5*E80)</f>
        <v>7.7344219071415645E-8</v>
      </c>
      <c r="G80" s="15">
        <f>F80/F$105</f>
        <v>2.3524728139014246E-8</v>
      </c>
      <c r="H80">
        <v>19</v>
      </c>
    </row>
    <row r="81" spans="1:8" x14ac:dyDescent="0.2">
      <c r="A81" s="5" t="s">
        <v>8</v>
      </c>
      <c r="B81" s="5">
        <v>-20.9</v>
      </c>
      <c r="C81" s="5">
        <v>3</v>
      </c>
      <c r="D81" s="5">
        <f t="shared" ref="D81:D103" si="16">-2*(B81)+2*(C81*(H81/(H81-C81-1)))</f>
        <v>49.4</v>
      </c>
      <c r="E81" s="5">
        <f t="shared" ref="E81:E103" si="17">D81-D$105</f>
        <v>8.3999999999999986</v>
      </c>
      <c r="F81" s="11">
        <f t="shared" ref="F81:F103" si="18">EXP(-0.5*E81)</f>
        <v>1.4995576820477717E-2</v>
      </c>
      <c r="G81" s="15">
        <f t="shared" ref="G81:G103" si="19">F81/F$105</f>
        <v>4.5609985106154511E-3</v>
      </c>
      <c r="H81">
        <v>19</v>
      </c>
    </row>
    <row r="82" spans="1:8" x14ac:dyDescent="0.2">
      <c r="A82" s="5" t="s">
        <v>9</v>
      </c>
      <c r="B82" s="5">
        <v>-33.5</v>
      </c>
      <c r="C82" s="5">
        <v>2</v>
      </c>
      <c r="D82" s="5">
        <f t="shared" si="16"/>
        <v>71.75</v>
      </c>
      <c r="E82" s="5">
        <f t="shared" si="17"/>
        <v>30.75</v>
      </c>
      <c r="F82" s="11">
        <f t="shared" si="18"/>
        <v>2.1024338523818466E-7</v>
      </c>
      <c r="G82" s="15">
        <f t="shared" si="19"/>
        <v>6.394684101972159E-8</v>
      </c>
      <c r="H82">
        <v>19</v>
      </c>
    </row>
    <row r="83" spans="1:8" x14ac:dyDescent="0.2">
      <c r="A83" s="5" t="s">
        <v>10</v>
      </c>
      <c r="B83" s="5">
        <v>-21.1</v>
      </c>
      <c r="C83" s="5">
        <v>3</v>
      </c>
      <c r="D83" s="5">
        <f t="shared" si="16"/>
        <v>49.800000000000004</v>
      </c>
      <c r="E83" s="5">
        <f t="shared" si="17"/>
        <v>8.8000000000000043</v>
      </c>
      <c r="F83" s="11">
        <f t="shared" si="18"/>
        <v>1.2277339903068415E-2</v>
      </c>
      <c r="G83" s="15">
        <f t="shared" si="19"/>
        <v>3.7342297453837317E-3</v>
      </c>
      <c r="H83">
        <v>19</v>
      </c>
    </row>
    <row r="84" spans="1:8" x14ac:dyDescent="0.2">
      <c r="A84" s="5" t="s">
        <v>11</v>
      </c>
      <c r="B84" s="5">
        <v>-40.5</v>
      </c>
      <c r="C84" s="5">
        <v>2</v>
      </c>
      <c r="D84" s="5">
        <f t="shared" si="16"/>
        <v>85.75</v>
      </c>
      <c r="E84" s="5">
        <f t="shared" si="17"/>
        <v>44.75</v>
      </c>
      <c r="F84" s="11">
        <f t="shared" si="18"/>
        <v>1.9171715137583119E-10</v>
      </c>
      <c r="G84" s="15">
        <f t="shared" si="19"/>
        <v>5.8311971080065898E-11</v>
      </c>
      <c r="H84">
        <v>19</v>
      </c>
    </row>
    <row r="85" spans="1:8" x14ac:dyDescent="0.2">
      <c r="A85" s="5" t="s">
        <v>12</v>
      </c>
      <c r="B85" s="5">
        <v>-21.6</v>
      </c>
      <c r="C85" s="5">
        <v>3</v>
      </c>
      <c r="D85" s="5">
        <f t="shared" si="16"/>
        <v>50.800000000000004</v>
      </c>
      <c r="E85" s="5">
        <f t="shared" si="17"/>
        <v>9.8000000000000043</v>
      </c>
      <c r="F85" s="11">
        <f t="shared" si="18"/>
        <v>7.4465830709243242E-3</v>
      </c>
      <c r="G85" s="15">
        <f t="shared" si="19"/>
        <v>2.2649248309861338E-3</v>
      </c>
      <c r="H85">
        <v>19</v>
      </c>
    </row>
    <row r="86" spans="1:8" x14ac:dyDescent="0.2">
      <c r="A86" s="5" t="s">
        <v>15</v>
      </c>
      <c r="B86" s="5">
        <v>-31.4</v>
      </c>
      <c r="C86" s="5">
        <v>2</v>
      </c>
      <c r="D86" s="5">
        <f t="shared" si="16"/>
        <v>67.55</v>
      </c>
      <c r="E86" s="5">
        <f t="shared" si="17"/>
        <v>26.549999999999997</v>
      </c>
      <c r="F86" s="11">
        <f t="shared" si="18"/>
        <v>1.7168832068484357E-6</v>
      </c>
      <c r="G86" s="15">
        <f t="shared" si="19"/>
        <v>5.2220076913899809E-7</v>
      </c>
      <c r="H86">
        <v>19</v>
      </c>
    </row>
    <row r="87" spans="1:8" x14ac:dyDescent="0.2">
      <c r="A87" s="5" t="s">
        <v>16</v>
      </c>
      <c r="B87" s="5">
        <v>-16.7</v>
      </c>
      <c r="C87" s="5">
        <v>3</v>
      </c>
      <c r="D87" s="5">
        <f t="shared" si="16"/>
        <v>41</v>
      </c>
      <c r="E87" s="5">
        <f t="shared" si="17"/>
        <v>0</v>
      </c>
      <c r="F87" s="11">
        <f t="shared" si="18"/>
        <v>1</v>
      </c>
      <c r="G87" s="15">
        <f t="shared" si="19"/>
        <v>0.30415625655606832</v>
      </c>
      <c r="H87">
        <v>19</v>
      </c>
    </row>
    <row r="88" spans="1:8" x14ac:dyDescent="0.2">
      <c r="A88" s="5" t="s">
        <v>17</v>
      </c>
      <c r="B88" s="5">
        <v>-29.1</v>
      </c>
      <c r="C88" s="5">
        <v>2</v>
      </c>
      <c r="D88" s="5">
        <f t="shared" si="16"/>
        <v>62.95</v>
      </c>
      <c r="E88" s="5">
        <f t="shared" si="17"/>
        <v>21.950000000000003</v>
      </c>
      <c r="F88" s="11">
        <f t="shared" si="18"/>
        <v>1.7124506358713654E-5</v>
      </c>
      <c r="G88" s="15">
        <f t="shared" si="19"/>
        <v>5.2085257494369329E-6</v>
      </c>
      <c r="H88">
        <v>19</v>
      </c>
    </row>
    <row r="89" spans="1:8" x14ac:dyDescent="0.2">
      <c r="A89" s="5" t="s">
        <v>18</v>
      </c>
      <c r="B89" s="5">
        <v>-16.899999999999999</v>
      </c>
      <c r="C89" s="5">
        <v>3</v>
      </c>
      <c r="D89" s="5">
        <f t="shared" si="16"/>
        <v>41.4</v>
      </c>
      <c r="E89" s="5">
        <f t="shared" si="17"/>
        <v>0.39999999999999858</v>
      </c>
      <c r="F89" s="11">
        <f t="shared" si="18"/>
        <v>0.81873075307798249</v>
      </c>
      <c r="G89" s="15">
        <f t="shared" si="19"/>
        <v>0.24902208098352985</v>
      </c>
      <c r="H89">
        <v>19</v>
      </c>
    </row>
    <row r="90" spans="1:8" x14ac:dyDescent="0.2">
      <c r="A90" s="5" t="s">
        <v>19</v>
      </c>
      <c r="B90" s="5">
        <v>-40.200000000000003</v>
      </c>
      <c r="C90" s="5">
        <v>2</v>
      </c>
      <c r="D90" s="5">
        <f t="shared" si="16"/>
        <v>85.15</v>
      </c>
      <c r="E90" s="5">
        <f t="shared" si="17"/>
        <v>44.150000000000006</v>
      </c>
      <c r="F90" s="11">
        <f t="shared" si="18"/>
        <v>2.5879108534804686E-10</v>
      </c>
      <c r="G90" s="15">
        <f t="shared" si="19"/>
        <v>7.8712927749543904E-11</v>
      </c>
      <c r="H90">
        <v>19</v>
      </c>
    </row>
    <row r="91" spans="1:8" x14ac:dyDescent="0.2">
      <c r="A91" s="5" t="s">
        <v>20</v>
      </c>
      <c r="B91" s="5">
        <v>-16.899999999999999</v>
      </c>
      <c r="C91" s="5">
        <v>3</v>
      </c>
      <c r="D91" s="5">
        <f t="shared" si="16"/>
        <v>41.4</v>
      </c>
      <c r="E91" s="5">
        <f t="shared" si="17"/>
        <v>0.39999999999999858</v>
      </c>
      <c r="F91" s="11">
        <f t="shared" si="18"/>
        <v>0.81873075307798249</v>
      </c>
      <c r="G91" s="15">
        <f t="shared" si="19"/>
        <v>0.24902208098352985</v>
      </c>
      <c r="H91">
        <v>19</v>
      </c>
    </row>
    <row r="92" spans="1:8" x14ac:dyDescent="0.2">
      <c r="A92" t="s">
        <v>30</v>
      </c>
      <c r="B92">
        <v>-31.41</v>
      </c>
      <c r="C92">
        <v>3</v>
      </c>
      <c r="D92" s="5">
        <f t="shared" si="16"/>
        <v>70.42</v>
      </c>
      <c r="E92" s="5">
        <f t="shared" si="17"/>
        <v>29.42</v>
      </c>
      <c r="F92" s="11">
        <f t="shared" si="18"/>
        <v>4.0881626976941757E-7</v>
      </c>
      <c r="G92" s="15">
        <f t="shared" si="19"/>
        <v>1.243440262322818E-7</v>
      </c>
      <c r="H92">
        <v>19</v>
      </c>
    </row>
    <row r="93" spans="1:8" x14ac:dyDescent="0.2">
      <c r="A93" t="s">
        <v>31</v>
      </c>
      <c r="B93">
        <v>-16.670000000000002</v>
      </c>
      <c r="C93">
        <v>4</v>
      </c>
      <c r="D93" s="5">
        <f t="shared" si="16"/>
        <v>44.197142857142865</v>
      </c>
      <c r="E93" s="5">
        <f t="shared" si="17"/>
        <v>3.1971428571428646</v>
      </c>
      <c r="F93" s="11">
        <f t="shared" si="18"/>
        <v>0.20218514770678328</v>
      </c>
      <c r="G93" s="15">
        <f t="shared" si="19"/>
        <v>6.1495877657730937E-2</v>
      </c>
      <c r="H93">
        <v>19</v>
      </c>
    </row>
    <row r="94" spans="1:8" x14ac:dyDescent="0.2">
      <c r="A94" t="s">
        <v>32</v>
      </c>
      <c r="B94">
        <v>-29.06</v>
      </c>
      <c r="C94">
        <v>3</v>
      </c>
      <c r="D94" s="5">
        <f t="shared" si="16"/>
        <v>65.72</v>
      </c>
      <c r="E94" s="5">
        <f t="shared" si="17"/>
        <v>24.72</v>
      </c>
      <c r="F94" s="11">
        <f t="shared" si="18"/>
        <v>4.2866715012702719E-6</v>
      </c>
      <c r="G94" s="15">
        <f t="shared" si="19"/>
        <v>1.3038179569119473E-6</v>
      </c>
      <c r="H94">
        <v>19</v>
      </c>
    </row>
    <row r="95" spans="1:8" x14ac:dyDescent="0.2">
      <c r="A95" t="s">
        <v>33</v>
      </c>
      <c r="B95">
        <v>-16.88</v>
      </c>
      <c r="C95">
        <v>4</v>
      </c>
      <c r="D95" s="5">
        <f t="shared" si="16"/>
        <v>44.617142857142852</v>
      </c>
      <c r="E95" s="5">
        <f t="shared" si="17"/>
        <v>3.6171428571428521</v>
      </c>
      <c r="F95" s="11">
        <f t="shared" si="18"/>
        <v>0.16388809550027486</v>
      </c>
      <c r="G95" s="15">
        <f t="shared" si="19"/>
        <v>4.9847589621467021E-2</v>
      </c>
      <c r="H95">
        <v>19</v>
      </c>
    </row>
    <row r="96" spans="1:8" x14ac:dyDescent="0.2">
      <c r="A96" t="s">
        <v>34</v>
      </c>
      <c r="B96">
        <v>-39.700000000000003</v>
      </c>
      <c r="C96">
        <v>3</v>
      </c>
      <c r="D96" s="5">
        <f t="shared" si="16"/>
        <v>87</v>
      </c>
      <c r="E96" s="5">
        <f t="shared" si="17"/>
        <v>46</v>
      </c>
      <c r="F96" s="11">
        <f t="shared" si="18"/>
        <v>1.026187963170189E-10</v>
      </c>
      <c r="G96" s="15">
        <f t="shared" si="19"/>
        <v>3.121214894007412E-11</v>
      </c>
      <c r="H96">
        <v>19</v>
      </c>
    </row>
    <row r="97" spans="1:8" x14ac:dyDescent="0.2">
      <c r="A97" t="s">
        <v>35</v>
      </c>
      <c r="B97">
        <v>-16.88</v>
      </c>
      <c r="C97">
        <v>4</v>
      </c>
      <c r="D97" s="5">
        <f t="shared" si="16"/>
        <v>44.617142857142852</v>
      </c>
      <c r="E97" s="5">
        <f t="shared" si="17"/>
        <v>3.6171428571428521</v>
      </c>
      <c r="F97" s="11">
        <f t="shared" si="18"/>
        <v>0.16388809550027486</v>
      </c>
      <c r="G97" s="15">
        <f t="shared" si="19"/>
        <v>4.9847589621467021E-2</v>
      </c>
      <c r="H97">
        <v>19</v>
      </c>
    </row>
    <row r="98" spans="1:8" x14ac:dyDescent="0.2">
      <c r="A98" t="s">
        <v>36</v>
      </c>
      <c r="B98">
        <v>-31.42</v>
      </c>
      <c r="C98">
        <v>4</v>
      </c>
      <c r="D98" s="5">
        <f t="shared" si="16"/>
        <v>73.697142857142865</v>
      </c>
      <c r="E98" s="5">
        <f t="shared" si="17"/>
        <v>32.697142857142865</v>
      </c>
      <c r="F98" s="11">
        <f t="shared" si="18"/>
        <v>7.9415567111517333E-8</v>
      </c>
      <c r="G98" s="15">
        <f t="shared" si="19"/>
        <v>2.4154741604916325E-8</v>
      </c>
      <c r="H98">
        <v>19</v>
      </c>
    </row>
    <row r="99" spans="1:8" x14ac:dyDescent="0.2">
      <c r="A99" t="s">
        <v>37</v>
      </c>
      <c r="B99">
        <v>-16.62</v>
      </c>
      <c r="C99">
        <v>5</v>
      </c>
      <c r="D99" s="5">
        <f t="shared" si="16"/>
        <v>47.855384615384615</v>
      </c>
      <c r="E99" s="5">
        <f t="shared" si="17"/>
        <v>6.8553846153846152</v>
      </c>
      <c r="F99" s="11">
        <f t="shared" si="18"/>
        <v>3.2461766170789393E-2</v>
      </c>
      <c r="G99" s="15">
        <f t="shared" si="19"/>
        <v>9.8734492797057163E-3</v>
      </c>
      <c r="H99">
        <v>19</v>
      </c>
    </row>
    <row r="100" spans="1:8" x14ac:dyDescent="0.2">
      <c r="A100" t="s">
        <v>38</v>
      </c>
      <c r="B100">
        <v>-29.05</v>
      </c>
      <c r="C100">
        <v>4</v>
      </c>
      <c r="D100" s="5">
        <f t="shared" si="16"/>
        <v>68.957142857142856</v>
      </c>
      <c r="E100" s="5">
        <f t="shared" si="17"/>
        <v>27.957142857142856</v>
      </c>
      <c r="F100" s="11">
        <f t="shared" si="18"/>
        <v>8.4953947485705284E-7</v>
      </c>
      <c r="G100" s="15">
        <f t="shared" si="19"/>
        <v>2.5839274646912929E-7</v>
      </c>
      <c r="H100">
        <v>19</v>
      </c>
    </row>
    <row r="101" spans="1:8" x14ac:dyDescent="0.2">
      <c r="A101" t="s">
        <v>39</v>
      </c>
      <c r="B101">
        <v>-16.82</v>
      </c>
      <c r="C101">
        <v>5</v>
      </c>
      <c r="D101" s="5">
        <f t="shared" si="16"/>
        <v>48.255384615384614</v>
      </c>
      <c r="E101" s="5">
        <f t="shared" si="17"/>
        <v>7.2553846153846138</v>
      </c>
      <c r="F101" s="11">
        <f t="shared" si="18"/>
        <v>2.6577446263251772E-2</v>
      </c>
      <c r="G101" s="15">
        <f t="shared" si="19"/>
        <v>8.0836965642507239E-3</v>
      </c>
      <c r="H101">
        <v>19</v>
      </c>
    </row>
    <row r="102" spans="1:8" x14ac:dyDescent="0.2">
      <c r="A102" t="s">
        <v>40</v>
      </c>
      <c r="B102">
        <v>-39.86</v>
      </c>
      <c r="C102">
        <v>4</v>
      </c>
      <c r="D102" s="5">
        <f t="shared" si="16"/>
        <v>90.57714285714286</v>
      </c>
      <c r="E102" s="5">
        <f t="shared" si="17"/>
        <v>49.57714285714286</v>
      </c>
      <c r="F102" s="11">
        <f t="shared" si="18"/>
        <v>1.7157745209132264E-11</v>
      </c>
      <c r="G102" s="15">
        <f t="shared" si="19"/>
        <v>5.2186355537524846E-12</v>
      </c>
      <c r="H102">
        <v>19</v>
      </c>
    </row>
    <row r="103" spans="1:8" x14ac:dyDescent="0.2">
      <c r="A103" t="s">
        <v>41</v>
      </c>
      <c r="B103">
        <v>-16.82</v>
      </c>
      <c r="C103">
        <v>5</v>
      </c>
      <c r="D103" s="5">
        <f t="shared" si="16"/>
        <v>48.255384615384614</v>
      </c>
      <c r="E103" s="5">
        <f t="shared" si="17"/>
        <v>7.2553846153846138</v>
      </c>
      <c r="F103" s="11">
        <f t="shared" si="18"/>
        <v>2.6577446263251772E-2</v>
      </c>
      <c r="G103" s="15">
        <f t="shared" si="19"/>
        <v>8.0836965642507239E-3</v>
      </c>
      <c r="H103">
        <v>19</v>
      </c>
    </row>
    <row r="104" spans="1:8" x14ac:dyDescent="0.2">
      <c r="F104" s="12"/>
    </row>
    <row r="105" spans="1:8" x14ac:dyDescent="0.2">
      <c r="D105">
        <f>MIN(D80:D103)</f>
        <v>41</v>
      </c>
      <c r="F105" s="12">
        <f>SUM(F80:F103)</f>
        <v>3.2877837573453288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2025-11-12T09:46:09Z</dcterms:created>
  <dcterms:modified xsi:type="dcterms:W3CDTF">2025-11-14T08:35:13Z</dcterms:modified>
</cp:coreProperties>
</file>